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OWER BI DATABOOM\Power Bi\"/>
    </mc:Choice>
  </mc:AlternateContent>
  <xr:revisionPtr revIDLastSave="0" documentId="8_{8C8CBFDC-C362-4E93-AEF8-55E2D2E4D946}" xr6:coauthVersionLast="47" xr6:coauthVersionMax="47" xr10:uidLastSave="{00000000-0000-0000-0000-000000000000}"/>
  <bookViews>
    <workbookView xWindow="-108" yWindow="-108" windowWidth="23256" windowHeight="12456" activeTab="1" xr2:uid="{9C510C7C-4469-4589-8EC4-2AB29F6C6F20}"/>
  </bookViews>
  <sheets>
    <sheet name="Лист4" sheetId="4" r:id="rId1"/>
    <sheet name="Успеваемость" sheetId="1" r:id="rId2"/>
    <sheet name="Лист2" sheetId="2" r:id="rId3"/>
    <sheet name="Лист3" sheetId="3" r:id="rId4"/>
  </sheets>
  <externalReferences>
    <externalReference r:id="rId5"/>
  </externalReferences>
  <definedNames>
    <definedName name="_1нед">[1]!Таблица1[оценказа1неделю]</definedName>
    <definedName name="_2нед">[1]!Таблица1[оценказа2неделю]</definedName>
    <definedName name="_3нед">[1]!Таблица1[оценказа3неделю]</definedName>
    <definedName name="_4нед">[1]!Таблица1[оценказа4неделю]</definedName>
    <definedName name="_xlnm._FilterDatabase" localSheetId="2" hidden="1">Лист2!$A$1:$B$145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3" l="1"/>
  <c r="H13" i="3"/>
  <c r="I13" i="3"/>
  <c r="J13" i="3"/>
  <c r="G14" i="3"/>
  <c r="H14" i="3"/>
  <c r="I14" i="3"/>
  <c r="J14" i="3"/>
  <c r="F13" i="3"/>
  <c r="F14" i="3"/>
  <c r="G12" i="3"/>
  <c r="H12" i="3"/>
  <c r="I12" i="3"/>
  <c r="J12" i="3"/>
  <c r="F12" i="3"/>
  <c r="G11" i="3"/>
  <c r="H11" i="3"/>
  <c r="I11" i="3"/>
  <c r="J11" i="3"/>
  <c r="F11" i="3"/>
  <c r="G8" i="3"/>
  <c r="H8" i="3"/>
  <c r="I8" i="3"/>
  <c r="J8" i="3"/>
  <c r="F8" i="3"/>
  <c r="G7" i="3"/>
  <c r="H7" i="3"/>
  <c r="I7" i="3"/>
  <c r="J7" i="3"/>
  <c r="F7" i="3"/>
  <c r="G4" i="3"/>
  <c r="H4" i="3"/>
  <c r="I4" i="3"/>
  <c r="J4" i="3"/>
  <c r="F4" i="3"/>
  <c r="H3" i="3"/>
  <c r="I3" i="3"/>
  <c r="J3" i="3"/>
  <c r="G3" i="3"/>
  <c r="F3" i="3"/>
  <c r="D12" i="3"/>
  <c r="E12" i="3" s="1"/>
  <c r="D13" i="3"/>
  <c r="E13" i="3" s="1"/>
  <c r="D14" i="3"/>
  <c r="E14" i="3" s="1"/>
  <c r="D11" i="3"/>
  <c r="E11" i="3" s="1"/>
  <c r="D8" i="3"/>
  <c r="D7" i="3"/>
  <c r="D4" i="3"/>
  <c r="D3" i="3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" i="2"/>
  <c r="E3" i="3" l="1"/>
  <c r="E8" i="3"/>
  <c r="E4" i="3"/>
  <c r="E7" i="3"/>
</calcChain>
</file>

<file path=xl/sharedStrings.xml><?xml version="1.0" encoding="utf-8"?>
<sst xmlns="http://schemas.openxmlformats.org/spreadsheetml/2006/main" count="1085" uniqueCount="364">
  <si>
    <t>ID</t>
  </si>
  <si>
    <t xml:space="preserve"> ФИО                      </t>
  </si>
  <si>
    <t>Датарождения</t>
  </si>
  <si>
    <t>Пол</t>
  </si>
  <si>
    <t>Ранееобучался</t>
  </si>
  <si>
    <t>Оценказа1неделю</t>
  </si>
  <si>
    <t>Оценказа2неделю</t>
  </si>
  <si>
    <t>Оценказа3неделю</t>
  </si>
  <si>
    <t>Оценказа4неделю</t>
  </si>
  <si>
    <t>Оценказа5неделю</t>
  </si>
  <si>
    <t>средняя за 5 недели</t>
  </si>
  <si>
    <t>категория   </t>
  </si>
  <si>
    <t>разница между 5 и 1 неделей   </t>
  </si>
  <si>
    <t>успеваемость стала</t>
  </si>
  <si>
    <t xml:space="preserve"> Асылзат Мусина           </t>
  </si>
  <si>
    <t>22.03.1980</t>
  </si>
  <si>
    <t>Ж</t>
  </si>
  <si>
    <t>Да</t>
  </si>
  <si>
    <t>не очень</t>
  </si>
  <si>
    <t xml:space="preserve"> Ерболат Тулебаев         </t>
  </si>
  <si>
    <t>15.07.1990</t>
  </si>
  <si>
    <t>М</t>
  </si>
  <si>
    <t>Нет</t>
  </si>
  <si>
    <t>Нормольно</t>
  </si>
  <si>
    <t xml:space="preserve"> Данагуль Кенжебаева      </t>
  </si>
  <si>
    <t>12.11.1985</t>
  </si>
  <si>
    <t>Хорошо</t>
  </si>
  <si>
    <t xml:space="preserve"> Марат Сатыбалдиев        </t>
  </si>
  <si>
    <t>05.06.1999</t>
  </si>
  <si>
    <t>Отлично</t>
  </si>
  <si>
    <t xml:space="preserve"> Сауле Абдукаримова       </t>
  </si>
  <si>
    <t>19.02.1977</t>
  </si>
  <si>
    <t xml:space="preserve"> Бекзат Исакулов          </t>
  </si>
  <si>
    <t>20.09.1983</t>
  </si>
  <si>
    <t xml:space="preserve"> Айдана Токаева           </t>
  </si>
  <si>
    <t>13.12.1995</t>
  </si>
  <si>
    <t xml:space="preserve"> Руслан Жунусов           </t>
  </si>
  <si>
    <t>23.04.1988</t>
  </si>
  <si>
    <t xml:space="preserve"> Алия Садыкова            </t>
  </si>
  <si>
    <t>28.08.1992</t>
  </si>
  <si>
    <t xml:space="preserve"> Тимур Болатов            </t>
  </si>
  <si>
    <t>07.01.1981</t>
  </si>
  <si>
    <t xml:space="preserve"> Камила Утекова           </t>
  </si>
  <si>
    <t>15.05.1998</t>
  </si>
  <si>
    <t xml:space="preserve"> Даулет Нуржанов          </t>
  </si>
  <si>
    <t>09.03.1999</t>
  </si>
  <si>
    <t xml:space="preserve"> Данагуль Кенжебаева</t>
  </si>
  <si>
    <t xml:space="preserve"> Марат Сатыбалдиев  </t>
  </si>
  <si>
    <t xml:space="preserve"> Сауле Абдукаримова </t>
  </si>
  <si>
    <t xml:space="preserve"> Бекзат Исакулов    </t>
  </si>
  <si>
    <t xml:space="preserve"> Айдана Токаева     </t>
  </si>
  <si>
    <t xml:space="preserve"> Тимур Асанов       </t>
  </si>
  <si>
    <t>25.05.1987</t>
  </si>
  <si>
    <t xml:space="preserve"> Гульнур Оразбаева  </t>
  </si>
  <si>
    <t>18.04.1992</t>
  </si>
  <si>
    <t xml:space="preserve"> Еркебулан Бекбаев  </t>
  </si>
  <si>
    <t>07.07.1997</t>
  </si>
  <si>
    <t xml:space="preserve"> Аида Нургалиева    </t>
  </si>
  <si>
    <t>02.01.1979</t>
  </si>
  <si>
    <t xml:space="preserve"> Руслан Мурзагулов  </t>
  </si>
  <si>
    <t>16.08.1980</t>
  </si>
  <si>
    <t xml:space="preserve"> Мирас Абдуллин      </t>
  </si>
  <si>
    <t>05.03.1981</t>
  </si>
  <si>
    <t xml:space="preserve"> Алма Керимбаева     </t>
  </si>
  <si>
    <t>23.10.1976</t>
  </si>
  <si>
    <t xml:space="preserve"> Жанболат Жумабаев   </t>
  </si>
  <si>
    <t>17.06.1996</t>
  </si>
  <si>
    <t xml:space="preserve"> Жансая Серикова     </t>
  </si>
  <si>
    <t>14.04.1989</t>
  </si>
  <si>
    <t xml:space="preserve"> Нурлан Оразгалиев   </t>
  </si>
  <si>
    <t>27.09.1985</t>
  </si>
  <si>
    <t xml:space="preserve"> Аружан Таибаева     </t>
  </si>
  <si>
    <t>01.11.2000</t>
  </si>
  <si>
    <t xml:space="preserve"> Даулет Садвакасов   </t>
  </si>
  <si>
    <t>20.12.1994</t>
  </si>
  <si>
    <t xml:space="preserve"> Динара Серікқызы      </t>
  </si>
  <si>
    <t>12.07.1989</t>
  </si>
  <si>
    <t xml:space="preserve"> Мұхамед Асқарұлы     </t>
  </si>
  <si>
    <t>01.05.1986</t>
  </si>
  <si>
    <t xml:space="preserve"> Айнара Қайратқызы     </t>
  </si>
  <si>
    <t>04.08.1999</t>
  </si>
  <si>
    <t xml:space="preserve"> Қайрат Бағдатұлы      </t>
  </si>
  <si>
    <t>15.10.1985</t>
  </si>
  <si>
    <t xml:space="preserve"> Мерей Болатқызы       </t>
  </si>
  <si>
    <t>11.09.1982</t>
  </si>
  <si>
    <t xml:space="preserve"> Ерболат Абайұлы       </t>
  </si>
  <si>
    <t>20.04.1995</t>
  </si>
  <si>
    <t xml:space="preserve"> Гүлжан Үсенқызы      </t>
  </si>
  <si>
    <t>19.03.1990</t>
  </si>
  <si>
    <t xml:space="preserve"> Нұрсұлтан Мағжанұлы  </t>
  </si>
  <si>
    <t>27.05.1978</t>
  </si>
  <si>
    <t xml:space="preserve"> Сауле Сатқалиқызы     </t>
  </si>
  <si>
    <t>06.02.1988</t>
  </si>
  <si>
    <t xml:space="preserve"> Жасұлан Батырханұлы   </t>
  </si>
  <si>
    <t>18.12.1989</t>
  </si>
  <si>
    <t xml:space="preserve"> Диляра Өтежанқызы     </t>
  </si>
  <si>
    <t>09.07.1986</t>
  </si>
  <si>
    <t xml:space="preserve"> Арман Қуандықұлы     </t>
  </si>
  <si>
    <t>21.06.1998</t>
  </si>
  <si>
    <t>Айбек Нұрланов</t>
  </si>
  <si>
    <t>Дана Сейтова</t>
  </si>
  <si>
    <t>Ержан Қасымов</t>
  </si>
  <si>
    <t>23.03.2007</t>
  </si>
  <si>
    <t>Аружан Төлегенова</t>
  </si>
  <si>
    <t>12.02.2003</t>
  </si>
  <si>
    <t>Нұрдәулет Ахметов</t>
  </si>
  <si>
    <t>28.03.2000</t>
  </si>
  <si>
    <t>Мадина Әбілова</t>
  </si>
  <si>
    <t>1.10.1990</t>
  </si>
  <si>
    <t>Данияр Сәрсенов</t>
  </si>
  <si>
    <t>11.03.2010</t>
  </si>
  <si>
    <t>Әсел Мұратқызы</t>
  </si>
  <si>
    <t>17.05.1988</t>
  </si>
  <si>
    <t>Руслан Омаров</t>
  </si>
  <si>
    <t>3.10.1991</t>
  </si>
  <si>
    <t>Гүлназ Ермекова</t>
  </si>
  <si>
    <t>18.11.2008</t>
  </si>
  <si>
    <t>Арман Тұрсынов</t>
  </si>
  <si>
    <t>15.05.2005</t>
  </si>
  <si>
    <t>Алина Жақсылықова</t>
  </si>
  <si>
    <t>20.08.2009</t>
  </si>
  <si>
    <t>Нұрсұлтан Бекенов</t>
  </si>
  <si>
    <t>13.09.2006</t>
  </si>
  <si>
    <t>Диана Әлиева</t>
  </si>
  <si>
    <t>3.07.1997</t>
  </si>
  <si>
    <t>Тимур Жұмабеков</t>
  </si>
  <si>
    <t>17.04.1996</t>
  </si>
  <si>
    <t>Айым Серікқызы</t>
  </si>
  <si>
    <t>14.08.1985</t>
  </si>
  <si>
    <t>Мейіржан Есенов</t>
  </si>
  <si>
    <t>15.03.1985</t>
  </si>
  <si>
    <t>Аружан Қанатова</t>
  </si>
  <si>
    <t>23.05.1985</t>
  </si>
  <si>
    <t>Бауыржан Иманов</t>
  </si>
  <si>
    <t>29.09.2008</t>
  </si>
  <si>
    <t>Жансая Нұрбекова</t>
  </si>
  <si>
    <t>4.08.1988</t>
  </si>
  <si>
    <t>Әлихан Қожахметов</t>
  </si>
  <si>
    <t>24.10.2006</t>
  </si>
  <si>
    <t>Камилла Сапарова</t>
  </si>
  <si>
    <t>27.02.1992</t>
  </si>
  <si>
    <t>Дастан Айдаров</t>
  </si>
  <si>
    <t>25.08.1999</t>
  </si>
  <si>
    <t>Салтанат Оразбаева</t>
  </si>
  <si>
    <t>16.09.1995</t>
  </si>
  <si>
    <t>Ерасыл Баймұратов</t>
  </si>
  <si>
    <t>5.04.1994</t>
  </si>
  <si>
    <t>Ақбота Жанәбілова</t>
  </si>
  <si>
    <t>13.03.1993</t>
  </si>
  <si>
    <t>Мирас Тілеубергенов</t>
  </si>
  <si>
    <t>22.02.1995</t>
  </si>
  <si>
    <t>Әмина Қалиева</t>
  </si>
  <si>
    <t>25.09.2007</t>
  </si>
  <si>
    <t>Азамат Исабеков</t>
  </si>
  <si>
    <t>2.06.1994</t>
  </si>
  <si>
    <t>Назерке Мұхамеджанова</t>
  </si>
  <si>
    <t>27.04.1998</t>
  </si>
  <si>
    <t>Санжар Рахымов</t>
  </si>
  <si>
    <t>30.09.2005</t>
  </si>
  <si>
    <t>Айгерім Жақыпова</t>
  </si>
  <si>
    <t>18.07.1992</t>
  </si>
  <si>
    <t>Елдос Мақсұтов</t>
  </si>
  <si>
    <t>9.10.2006</t>
  </si>
  <si>
    <t>Әсем Бақытқызы</t>
  </si>
  <si>
    <t>23.09.1985</t>
  </si>
  <si>
    <t>Бекзат Әлімбеков</t>
  </si>
  <si>
    <t>13.04.1993</t>
  </si>
  <si>
    <t>Інжу Қайратова</t>
  </si>
  <si>
    <t>14.08.1997</t>
  </si>
  <si>
    <t>Арсен Нұрғалиев</t>
  </si>
  <si>
    <t>5.08.2007</t>
  </si>
  <si>
    <t>хуже</t>
  </si>
  <si>
    <t>лучше</t>
  </si>
  <si>
    <t xml:space="preserve"> Альфия Ибрагимова   </t>
  </si>
  <si>
    <t>06.08.1978</t>
  </si>
  <si>
    <t xml:space="preserve"> Бауыржан Мусабеков  </t>
  </si>
  <si>
    <t>09.02.1983</t>
  </si>
  <si>
    <t xml:space="preserve"> Айгуль Нурмухамедова</t>
  </si>
  <si>
    <t>30.07.1997</t>
  </si>
  <si>
    <t xml:space="preserve"> Айдана Жұмабекқызы  </t>
  </si>
  <si>
    <t>10.05.1984</t>
  </si>
  <si>
    <t xml:space="preserve"> Болат Жолдасбекұлы   </t>
  </si>
  <si>
    <t>12.03.1987</t>
  </si>
  <si>
    <t xml:space="preserve"> Гүлназ Бекболатқызы </t>
  </si>
  <si>
    <t>01.10.1988</t>
  </si>
  <si>
    <t xml:space="preserve"> Ерасыл Төлеғенұлы   </t>
  </si>
  <si>
    <t>16.09.1990</t>
  </si>
  <si>
    <t xml:space="preserve"> Дана Оразбайқызы    </t>
  </si>
  <si>
    <t>22.02.1986</t>
  </si>
  <si>
    <t xml:space="preserve"> Қанат Әбенұлы       </t>
  </si>
  <si>
    <t>07.11.1978</t>
  </si>
  <si>
    <t xml:space="preserve"> Лаура Сәрсенбекқызы </t>
  </si>
  <si>
    <t>05.03.1992</t>
  </si>
  <si>
    <t xml:space="preserve"> Мәдина Тасболатқызы </t>
  </si>
  <si>
    <t>23.12.1979</t>
  </si>
  <si>
    <t xml:space="preserve"> Әділет Тайғанұлы    </t>
  </si>
  <si>
    <t>08.04.1998</t>
  </si>
  <si>
    <t xml:space="preserve"> Раушан Кайратқызы   </t>
  </si>
  <si>
    <t>17.06.1982</t>
  </si>
  <si>
    <t xml:space="preserve"> Жасұлан Мейірбекұлы   </t>
  </si>
  <si>
    <t>21.05.1995</t>
  </si>
  <si>
    <t xml:space="preserve"> Айгерім Нұрланқызы    </t>
  </si>
  <si>
    <t>09.04.1997</t>
  </si>
  <si>
    <t xml:space="preserve"> Темірлан Асқарұлы     </t>
  </si>
  <si>
    <t>10.12.1990</t>
  </si>
  <si>
    <t xml:space="preserve"> Сағындық Сабырұлы     </t>
  </si>
  <si>
    <t>02.09.1983</t>
  </si>
  <si>
    <t xml:space="preserve"> Алтынай Зұлпықарқызы  </t>
  </si>
  <si>
    <t>15.11.1981</t>
  </si>
  <si>
    <t xml:space="preserve"> Әдель Бағдатұлы       </t>
  </si>
  <si>
    <t>08.03.1996</t>
  </si>
  <si>
    <t xml:space="preserve"> Жібек Қуанышқызы     </t>
  </si>
  <si>
    <t>27.06.1977</t>
  </si>
  <si>
    <t xml:space="preserve"> Болатхан Бекболұлы    </t>
  </si>
  <si>
    <t>19.02.1998</t>
  </si>
  <si>
    <t>Данияр Нұрбекұлы</t>
  </si>
  <si>
    <t>15.08.1986</t>
  </si>
  <si>
    <t>Жұлдыз Айтбекқызы</t>
  </si>
  <si>
    <t>21.04.1992</t>
  </si>
  <si>
    <t>Бауыржан Толеубеков</t>
  </si>
  <si>
    <t>09.10.1980</t>
  </si>
  <si>
    <t>Айгүл Мейірбекқызы</t>
  </si>
  <si>
    <t>19.03.1996</t>
  </si>
  <si>
    <t>Ербол Айдосұлы</t>
  </si>
  <si>
    <t>25.07.1978</t>
  </si>
  <si>
    <t>Асель Жанболатқызы</t>
  </si>
  <si>
    <t>31.12.1999</t>
  </si>
  <si>
    <t>Талгат Ержанұлы</t>
  </si>
  <si>
    <t>02.05.1988</t>
  </si>
  <si>
    <t>Мәдина Сәрікқызы</t>
  </si>
  <si>
    <t>14.02.1994</t>
  </si>
  <si>
    <t>Бекжан Маратұлы</t>
  </si>
  <si>
    <t>20.11.1982</t>
  </si>
  <si>
    <t>Қамар Айданақызы</t>
  </si>
  <si>
    <t>29.09.2000</t>
  </si>
  <si>
    <t>Тимур Болатұлы</t>
  </si>
  <si>
    <t>11.06.1979</t>
  </si>
  <si>
    <t>Аяулым Серікқызы</t>
  </si>
  <si>
    <t>07.03.1985</t>
  </si>
  <si>
    <t>Яссеркең Мейрамбекұлы</t>
  </si>
  <si>
    <t>24.12.1998</t>
  </si>
  <si>
    <t>Ақерке Асылбекқызы</t>
  </si>
  <si>
    <t>05.05.1987</t>
  </si>
  <si>
    <t>Жасқан Ардакұлы</t>
  </si>
  <si>
    <t>22.02.1990</t>
  </si>
  <si>
    <t>Шолпан Жасұланқызы</t>
  </si>
  <si>
    <t>13.11.1995</t>
  </si>
  <si>
    <t>Мәхмұт Алтынбекұлы</t>
  </si>
  <si>
    <t>28.08.1976</t>
  </si>
  <si>
    <t>Лаура Абзалқызы</t>
  </si>
  <si>
    <t>15.09.1989</t>
  </si>
  <si>
    <t>Орынбек Бағдатұлы</t>
  </si>
  <si>
    <t>01.04.1982</t>
  </si>
  <si>
    <t>Айзере Болатқызы</t>
  </si>
  <si>
    <t>20.07.1999</t>
  </si>
  <si>
    <t>Алина Сағатқызы</t>
  </si>
  <si>
    <t>12.06.1984</t>
  </si>
  <si>
    <t>Мадияр Оразбекұлы</t>
  </si>
  <si>
    <t>03.08.1983</t>
  </si>
  <si>
    <t>Нұржан Нұрсұлтанұлы</t>
  </si>
  <si>
    <t>29.01.1987</t>
  </si>
  <si>
    <t>Алма Бауыржанқызы</t>
  </si>
  <si>
    <t>16.09.1992</t>
  </si>
  <si>
    <t>Темірлан Марленұлы</t>
  </si>
  <si>
    <t>14.02.1977</t>
  </si>
  <si>
    <t>Дильназ Саматқызы</t>
  </si>
  <si>
    <t>23.11.1991</t>
  </si>
  <si>
    <t>Ағылшат Рустемұлы</t>
  </si>
  <si>
    <t>04.12.1979</t>
  </si>
  <si>
    <t>Гүлнар Талғатқызы</t>
  </si>
  <si>
    <t>17.04.1988</t>
  </si>
  <si>
    <t>Ерасыл Дастанұлы</t>
  </si>
  <si>
    <t>06.10.1996</t>
  </si>
  <si>
    <t>Сауле Асқарқызы</t>
  </si>
  <si>
    <t>19.03.1981</t>
  </si>
  <si>
    <t>4,4.хуже.</t>
  </si>
  <si>
    <t>3,6.хуже.</t>
  </si>
  <si>
    <t>Данияр Маханбетов</t>
  </si>
  <si>
    <t>Айгерим Турганбаева</t>
  </si>
  <si>
    <t>Ерасыл Даулетов</t>
  </si>
  <si>
    <t>Асель Айтбаева</t>
  </si>
  <si>
    <t>Мирас Болатулы</t>
  </si>
  <si>
    <t>Жансая Оразбекова</t>
  </si>
  <si>
    <t>Нурсултан Жумадилов</t>
  </si>
  <si>
    <t>Айзере Толепбергенова</t>
  </si>
  <si>
    <t>Бауыржан Кенжебаев</t>
  </si>
  <si>
    <t>Гульнур Сатыбалдиева</t>
  </si>
  <si>
    <t>02.04.2007</t>
  </si>
  <si>
    <t>07.02.1999</t>
  </si>
  <si>
    <t>06.04.2000</t>
  </si>
  <si>
    <t>27.12.2009</t>
  </si>
  <si>
    <t>28.04.2004</t>
  </si>
  <si>
    <t>25.04.1999</t>
  </si>
  <si>
    <t>ДА</t>
  </si>
  <si>
    <t>НЕТ</t>
  </si>
  <si>
    <t>КОЛ-ВО</t>
  </si>
  <si>
    <t>%</t>
  </si>
  <si>
    <t>Аида Нургалиева</t>
  </si>
  <si>
    <t>Айгерім Нұрланқызы</t>
  </si>
  <si>
    <t>Айгуль Нурмухамедова</t>
  </si>
  <si>
    <t>Айдана Жұмабекқызы</t>
  </si>
  <si>
    <t>Айдана Токаева</t>
  </si>
  <si>
    <t>Айнара Қайратқызы</t>
  </si>
  <si>
    <t>Алия Садыкова</t>
  </si>
  <si>
    <t>Алма Керимбаева</t>
  </si>
  <si>
    <t>Алтынай Зұлпықарқызы</t>
  </si>
  <si>
    <t>Альфия Ибрагимова</t>
  </si>
  <si>
    <t>Арман Қуандықұлы</t>
  </si>
  <si>
    <t>Аружан Таибаева</t>
  </si>
  <si>
    <t>Асылзат Мусина</t>
  </si>
  <si>
    <t>Бауыржан Мусабеков</t>
  </si>
  <si>
    <t>Бекзат Исакулов</t>
  </si>
  <si>
    <t>Болат Жолдасбекұлы</t>
  </si>
  <si>
    <t>Болатхан Бекболұлы</t>
  </si>
  <si>
    <t>Гульнур Оразбаева</t>
  </si>
  <si>
    <t>Гүлжан Үсенқызы</t>
  </si>
  <si>
    <t>Гүлназ Бекболатқызы</t>
  </si>
  <si>
    <t>Дана Оразбайқызы</t>
  </si>
  <si>
    <t>Данагуль Кенжебаева</t>
  </si>
  <si>
    <t>Даулет Нуржанов</t>
  </si>
  <si>
    <t>Даулет Садвакасов</t>
  </si>
  <si>
    <t>Диляра Өтежанқызы</t>
  </si>
  <si>
    <t>Динара Серікқызы</t>
  </si>
  <si>
    <t>Ерасыл Төлеғенұлы</t>
  </si>
  <si>
    <t>Ерболат Абайұлы</t>
  </si>
  <si>
    <t>Ерболат Тулебаев</t>
  </si>
  <si>
    <t>Еркебулан Бекбаев</t>
  </si>
  <si>
    <t>Әдель Бағдатұлы</t>
  </si>
  <si>
    <t>Әділет Тайғанұлы</t>
  </si>
  <si>
    <t>Жанболат Жумабаев</t>
  </si>
  <si>
    <t>Жансая Серикова</t>
  </si>
  <si>
    <t>Жасұлан Батырханұлы</t>
  </si>
  <si>
    <t>Жасұлан Мейірбекұлы</t>
  </si>
  <si>
    <t>Жібек Қуанышқызы</t>
  </si>
  <si>
    <t>Камила Утекова</t>
  </si>
  <si>
    <t>Қайрат Бағдатұлы</t>
  </si>
  <si>
    <t>Қанат Әбенұлы</t>
  </si>
  <si>
    <t>Лаура Сәрсенбекқызы</t>
  </si>
  <si>
    <t>Марат Сатыбалдиев</t>
  </si>
  <si>
    <t>Мерей Болатқызы</t>
  </si>
  <si>
    <t>Мәдина Тасболатқызы</t>
  </si>
  <si>
    <t>Мирас Абдуллин</t>
  </si>
  <si>
    <t>Мұхамед Асқарұлы</t>
  </si>
  <si>
    <t>Нурлан Оразгалиев</t>
  </si>
  <si>
    <t>Нұрсұлтан Мағжанұлы</t>
  </si>
  <si>
    <t>Раушан Кайратқызы</t>
  </si>
  <si>
    <t>Руслан Жунусов</t>
  </si>
  <si>
    <t>Руслан Мурзагулов</t>
  </si>
  <si>
    <t>Сағындық Сабырұлы</t>
  </si>
  <si>
    <t>Сауле Абдукаримова</t>
  </si>
  <si>
    <t>Сауле Сатқалиқызы</t>
  </si>
  <si>
    <t>Темірлан Асқарұлы</t>
  </si>
  <si>
    <t>Тимур Асанов</t>
  </si>
  <si>
    <t>Тимур Болатов</t>
  </si>
  <si>
    <t>Сумма по полю ID</t>
  </si>
  <si>
    <t>Названия строк</t>
  </si>
  <si>
    <t>Общий итог</t>
  </si>
  <si>
    <t>Студент</t>
  </si>
  <si>
    <t>Количество по полю ID</t>
  </si>
  <si>
    <t>Среднее по полю Оценказа1неделю</t>
  </si>
  <si>
    <t>Среднее по полю Оценказа2неделю</t>
  </si>
  <si>
    <t>Среднее по полю Оценказа3неделю</t>
  </si>
  <si>
    <t>Среднее по полю Оценказа4неделю</t>
  </si>
  <si>
    <t>Среднее по полю средняя за 5 недели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</si>
</sst>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rgb="FFFFFFFF"/>
      <name val="Courier New"/>
      <family val="3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  <charset val="204"/>
    </font>
    <font>
      <b/>
      <sz val="11"/>
      <color theme="0"/>
      <name val="Calibri"/>
      <family val="2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wrapText="1" indent="1"/>
    </xf>
    <xf numFmtId="0" fontId="0" fillId="0" borderId="0" xfId="0" applyProtection="1">
      <protection locked="0"/>
    </xf>
    <xf numFmtId="14" fontId="0" fillId="0" borderId="0" xfId="0" applyNumberFormat="1"/>
    <xf numFmtId="0" fontId="0" fillId="3" borderId="2" xfId="0" applyFill="1" applyBorder="1"/>
    <xf numFmtId="0" fontId="0" fillId="4" borderId="2" xfId="0" applyFill="1" applyBorder="1"/>
    <xf numFmtId="0" fontId="0" fillId="3" borderId="3" xfId="0" applyFill="1" applyBorder="1"/>
    <xf numFmtId="0" fontId="5" fillId="2" borderId="1" xfId="0" applyFont="1" applyFill="1" applyBorder="1"/>
    <xf numFmtId="9" fontId="0" fillId="0" borderId="0" xfId="1" applyFont="1"/>
    <xf numFmtId="164" fontId="0" fillId="0" borderId="0" xfId="1" applyNumberFormat="1" applyFont="1"/>
    <xf numFmtId="2" fontId="0" fillId="0" borderId="0" xfId="0" applyNumberFormat="1"/>
    <xf numFmtId="2" fontId="5" fillId="2" borderId="1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10" fontId="0" fillId="0" borderId="0" xfId="0" applyNumberFormat="1"/>
  </cellXfs>
  <cellStyles count="2">
    <cellStyle name="Обычный" xfId="0" builtinId="0"/>
    <cellStyle name="Процентный" xfId="1" builtinId="5"/>
  </cellStyles>
  <dxfs count="6">
    <dxf>
      <protection locked="0" hidden="0"/>
    </dxf>
    <dxf>
      <numFmt numFmtId="0" formatCode="General"/>
    </dxf>
    <dxf>
      <numFmt numFmtId="2" formatCode="0.00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101;&#1082;&#1089;&#1077;&#1083;%20&#1076;&#1072;&#1090;&#1072;&#1073;&#1091;&#1084;/&#1052;&#1072;&#1082;&#1089;&#1090;&#1072;&#1093;&#1072;&#1085;_&#1040;&#1081;&#1078;&#1072;&#1088;&#1099;&#1082;,56.xlsx" TargetMode="External"/><Relationship Id="rId2" Type="http://schemas.openxmlformats.org/officeDocument/2006/relationships/externalLinkPath" Target="file:///C:\Users\User\Downloads\&#1101;&#1082;&#1089;&#1077;&#1083;%20&#1076;&#1072;&#1090;&#1072;&#1073;&#1091;&#1084;\&#1052;&#1072;&#1082;&#1089;&#1090;&#1072;&#1093;&#1072;&#1085;_&#1040;&#1081;&#1078;&#1072;&#1088;&#1099;&#1082;,56.xlsx" TargetMode="External"/><Relationship Id="rId1" Type="http://schemas.openxmlformats.org/officeDocument/2006/relationships/externalLinkPath" Target="/Users/User/Downloads/&#1101;&#1082;&#1089;&#1077;&#1083;%20&#1076;&#1072;&#1090;&#1072;&#1073;&#1091;&#1084;/&#1052;&#1072;&#1082;&#1089;&#1090;&#1072;&#1093;&#1072;&#1085;_&#1040;&#1081;&#1078;&#1072;&#1088;&#1099;&#1082;,5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Успеваемость"/>
      <sheetName val="Лист6"/>
      <sheetName val="13000-20"/>
      <sheetName val="13021-32"/>
      <sheetName val="13033-62"/>
      <sheetName val="Лист3"/>
      <sheetName val="Лист4"/>
      <sheetName val="13100-115"/>
      <sheetName val="Макстахан_Айжарык,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6.977401504628" createdVersion="8" refreshedVersion="8" minRefreshableVersion="3" recordCount="145" xr:uid="{5539D39E-1F28-497F-97C3-D6435639EE3D}">
  <cacheSource type="worksheet">
    <worksheetSource name="Таблица1"/>
  </cacheSource>
  <cacheFields count="14">
    <cacheField name="ID" numFmtId="0">
      <sharedItems containsSemiMixedTypes="0" containsString="0" containsNumber="1" containsInteger="1" minValue="12971" maxValue="13115"/>
    </cacheField>
    <cacheField name="Студент" numFmtId="0">
      <sharedItems/>
    </cacheField>
    <cacheField name="Датарождения" numFmtId="0">
      <sharedItems containsDate="1" containsMixedTypes="1" minDate="1985-07-14T00:00:00" maxDate="1998-09-11T00:00:00"/>
    </cacheField>
    <cacheField name="Пол" numFmtId="0">
      <sharedItems count="2">
        <s v="Ж"/>
        <s v="М"/>
      </sharedItems>
    </cacheField>
    <cacheField name="Ранееобучался" numFmtId="0">
      <sharedItems count="2">
        <s v="Нет"/>
        <s v="Да"/>
      </sharedItems>
    </cacheField>
    <cacheField name="Оценказа1неделю" numFmtId="0">
      <sharedItems containsSemiMixedTypes="0" containsString="0" containsNumber="1" containsInteger="1" minValue="1" maxValue="5"/>
    </cacheField>
    <cacheField name="Оценказа2неделю" numFmtId="0">
      <sharedItems containsSemiMixedTypes="0" containsString="0" containsNumber="1" containsInteger="1" minValue="1" maxValue="5"/>
    </cacheField>
    <cacheField name="Оценказа3неделю" numFmtId="0">
      <sharedItems containsSemiMixedTypes="0" containsString="0" containsNumber="1" containsInteger="1" minValue="1" maxValue="5"/>
    </cacheField>
    <cacheField name="Оценказа4неделю" numFmtId="0">
      <sharedItems containsSemiMixedTypes="0" containsString="0" containsNumber="1" containsInteger="1" minValue="2" maxValue="5"/>
    </cacheField>
    <cacheField name="Оценказа5неделю" numFmtId="0">
      <sharedItems containsSemiMixedTypes="0" containsString="0" containsNumber="1" containsInteger="1" minValue="2" maxValue="5"/>
    </cacheField>
    <cacheField name="средняя за 5 недели" numFmtId="0">
      <sharedItems containsSemiMixedTypes="0" containsString="0" containsNumber="1" minValue="2.4" maxValue="4.8"/>
    </cacheField>
    <cacheField name="категория   " numFmtId="0">
      <sharedItems/>
    </cacheField>
    <cacheField name="разница между 5 и 1 неделей   " numFmtId="0">
      <sharedItems containsSemiMixedTypes="0" containsString="0" containsNumber="1" containsInteger="1" minValue="-3" maxValue="4"/>
    </cacheField>
    <cacheField name="успеваемость стала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n v="12991"/>
    <s v="Аида Нургалиева"/>
    <s v="02.01.1979"/>
    <x v="0"/>
    <x v="0"/>
    <n v="4"/>
    <n v="4"/>
    <n v="4"/>
    <n v="4"/>
    <n v="5"/>
    <n v="4.2"/>
    <s v="Хорошо"/>
    <n v="1"/>
    <s v="лучше"/>
  </r>
  <r>
    <n v="13014"/>
    <s v="Айгерім Нұрланқызы"/>
    <s v="09.04.1997"/>
    <x v="0"/>
    <x v="0"/>
    <n v="3"/>
    <n v="2"/>
    <n v="5"/>
    <n v="5"/>
    <n v="4"/>
    <n v="3.8"/>
    <s v="Нормольно"/>
    <n v="1"/>
    <s v="лучше"/>
  </r>
  <r>
    <n v="13002"/>
    <s v="Айгуль Нурмухамедова"/>
    <s v="30.07.1997"/>
    <x v="0"/>
    <x v="0"/>
    <n v="4"/>
    <n v="3"/>
    <n v="4"/>
    <n v="4"/>
    <n v="3"/>
    <n v="3.6"/>
    <s v="Нормольно"/>
    <n v="-1"/>
    <s v="хуже"/>
  </r>
  <r>
    <n v="13003"/>
    <s v="Айдана Жұмабекқызы"/>
    <s v="10.05.1984"/>
    <x v="0"/>
    <x v="1"/>
    <n v="3"/>
    <n v="4"/>
    <n v="3"/>
    <n v="2"/>
    <n v="5"/>
    <n v="3.4"/>
    <s v="Нормольно"/>
    <n v="2"/>
    <s v="лучше"/>
  </r>
  <r>
    <n v="12987"/>
    <s v="Айдана Токаева"/>
    <s v="13.12.1995"/>
    <x v="0"/>
    <x v="0"/>
    <n v="4"/>
    <n v="5"/>
    <n v="2"/>
    <n v="2"/>
    <n v="3"/>
    <n v="3.2"/>
    <s v="Нормольно"/>
    <n v="-1"/>
    <s v="хуже"/>
  </r>
  <r>
    <n v="12977"/>
    <s v="Айдана Токаева"/>
    <s v="13.12.1995"/>
    <x v="0"/>
    <x v="0"/>
    <n v="2"/>
    <n v="3"/>
    <n v="3"/>
    <n v="5"/>
    <n v="2"/>
    <n v="3"/>
    <s v="Нормольно"/>
    <n v="0"/>
    <s v="хуже"/>
  </r>
  <r>
    <n v="13023"/>
    <s v="Айнара Қайратқызы"/>
    <s v="04.08.1999"/>
    <x v="0"/>
    <x v="1"/>
    <n v="5"/>
    <n v="5"/>
    <n v="5"/>
    <n v="5"/>
    <n v="4"/>
    <n v="4.8"/>
    <s v="Хорошо"/>
    <n v="-1"/>
    <s v="хуже"/>
  </r>
  <r>
    <n v="12979"/>
    <s v="Алия Садыкова"/>
    <s v="28.08.1992"/>
    <x v="0"/>
    <x v="0"/>
    <n v="4"/>
    <n v="5"/>
    <n v="4"/>
    <n v="3"/>
    <n v="3"/>
    <n v="3.8"/>
    <s v="Нормольно"/>
    <n v="-1"/>
    <s v="хуже"/>
  </r>
  <r>
    <n v="12994"/>
    <s v="Алма Керимбаева"/>
    <s v="23.10.1976"/>
    <x v="0"/>
    <x v="0"/>
    <n v="3"/>
    <n v="2"/>
    <n v="3"/>
    <n v="4"/>
    <n v="3"/>
    <n v="3"/>
    <s v="Нормольно"/>
    <n v="0"/>
    <s v="хуже"/>
  </r>
  <r>
    <n v="13017"/>
    <s v="Алтынай Зұлпықарқызы"/>
    <s v="15.11.1981"/>
    <x v="0"/>
    <x v="1"/>
    <n v="5"/>
    <n v="3"/>
    <n v="4"/>
    <n v="3"/>
    <n v="3"/>
    <n v="3.6"/>
    <s v="Нормольно"/>
    <n v="-2"/>
    <s v="хуже"/>
  </r>
  <r>
    <n v="13000"/>
    <s v="Альфия Ибрагимова"/>
    <s v="06.08.1978"/>
    <x v="0"/>
    <x v="0"/>
    <n v="4"/>
    <n v="4"/>
    <n v="2"/>
    <n v="4"/>
    <n v="3"/>
    <n v="3.4"/>
    <s v="Нормольно"/>
    <n v="-1"/>
    <s v="хуже"/>
  </r>
  <r>
    <n v="13032"/>
    <s v="Арман Қуандықұлы"/>
    <s v="21.06.1998"/>
    <x v="1"/>
    <x v="0"/>
    <n v="3"/>
    <n v="4"/>
    <n v="4"/>
    <n v="5"/>
    <n v="5"/>
    <n v="4.2"/>
    <s v="Хорошо"/>
    <n v="2"/>
    <s v="лучше"/>
  </r>
  <r>
    <n v="12998"/>
    <s v="Аружан Таибаева"/>
    <s v="01.11.2000"/>
    <x v="0"/>
    <x v="0"/>
    <n v="4"/>
    <n v="5"/>
    <n v="3"/>
    <n v="3"/>
    <n v="3"/>
    <n v="3.6"/>
    <s v="Нормольно"/>
    <n v="-1"/>
    <s v="хуже"/>
  </r>
  <r>
    <n v="12971"/>
    <s v="Асылзат Мусина"/>
    <s v="22.03.1980"/>
    <x v="0"/>
    <x v="1"/>
    <n v="3"/>
    <n v="4"/>
    <n v="3"/>
    <n v="5"/>
    <n v="2"/>
    <n v="3.4"/>
    <s v="Нормольно"/>
    <n v="-1"/>
    <s v="хуже"/>
  </r>
  <r>
    <n v="13001"/>
    <s v="Бауыржан Мусабеков"/>
    <s v="09.02.1983"/>
    <x v="1"/>
    <x v="1"/>
    <n v="2"/>
    <n v="2"/>
    <n v="3"/>
    <n v="5"/>
    <n v="4"/>
    <n v="3.2"/>
    <s v="Нормольно"/>
    <n v="2"/>
    <s v="лучше"/>
  </r>
  <r>
    <n v="12986"/>
    <s v="Бекзат Исакулов"/>
    <s v="20.09.1983"/>
    <x v="1"/>
    <x v="1"/>
    <n v="4"/>
    <n v="4"/>
    <n v="5"/>
    <n v="3"/>
    <n v="2"/>
    <n v="3.6"/>
    <s v="Нормольно"/>
    <n v="-2"/>
    <s v="хуже"/>
  </r>
  <r>
    <n v="12976"/>
    <s v="Бекзат Исакулов"/>
    <s v="20.09.1983"/>
    <x v="1"/>
    <x v="1"/>
    <n v="4"/>
    <n v="4"/>
    <n v="5"/>
    <n v="3"/>
    <n v="3"/>
    <n v="3.8"/>
    <s v="Нормольно"/>
    <n v="-1"/>
    <s v="хуже"/>
  </r>
  <r>
    <n v="13004"/>
    <s v="Болат Жолдасбекұлы"/>
    <s v="12.03.1987"/>
    <x v="1"/>
    <x v="0"/>
    <n v="4"/>
    <n v="5"/>
    <n v="3"/>
    <n v="4"/>
    <n v="4"/>
    <n v="4"/>
    <s v="Хорошо"/>
    <n v="0"/>
    <s v="хуже"/>
  </r>
  <r>
    <n v="13020"/>
    <s v="Болатхан Бекболұлы"/>
    <s v="19.02.1998"/>
    <x v="1"/>
    <x v="0"/>
    <n v="5"/>
    <n v="4"/>
    <n v="4"/>
    <n v="4"/>
    <n v="2"/>
    <n v="3.8"/>
    <s v="Нормольно"/>
    <n v="-3"/>
    <s v="хуже"/>
  </r>
  <r>
    <n v="12989"/>
    <s v="Гульнур Оразбаева"/>
    <s v="18.04.1992"/>
    <x v="0"/>
    <x v="0"/>
    <n v="5"/>
    <n v="4"/>
    <n v="5"/>
    <n v="5"/>
    <n v="3"/>
    <n v="4.4000000000000004"/>
    <s v="Хорошо"/>
    <n v="-2"/>
    <s v="хуже"/>
  </r>
  <r>
    <n v="13027"/>
    <s v="Гүлжан Үсенқызы"/>
    <s v="19.03.1990"/>
    <x v="0"/>
    <x v="1"/>
    <n v="5"/>
    <n v="5"/>
    <n v="5"/>
    <n v="3"/>
    <n v="3"/>
    <n v="4.2"/>
    <s v="Хорошо"/>
    <n v="-2"/>
    <s v="хуже"/>
  </r>
  <r>
    <n v="13005"/>
    <s v="Гүлназ Бекболатқызы"/>
    <s v="01.10.1988"/>
    <x v="0"/>
    <x v="1"/>
    <n v="5"/>
    <n v="4"/>
    <n v="4"/>
    <n v="5"/>
    <n v="4"/>
    <n v="4.4000000000000004"/>
    <s v="Хорошо"/>
    <n v="-1"/>
    <s v="хуже"/>
  </r>
  <r>
    <n v="13007"/>
    <s v="Дана Оразбайқызы"/>
    <s v="22.02.1986"/>
    <x v="0"/>
    <x v="1"/>
    <n v="3"/>
    <n v="5"/>
    <n v="5"/>
    <n v="5"/>
    <n v="4"/>
    <n v="4.4000000000000004"/>
    <s v="Хорошо"/>
    <n v="1"/>
    <s v="лучше"/>
  </r>
  <r>
    <n v="12983"/>
    <s v="Данагуль Кенжебаева"/>
    <s v="12.11.1985"/>
    <x v="0"/>
    <x v="1"/>
    <n v="5"/>
    <n v="3"/>
    <n v="3"/>
    <n v="4"/>
    <n v="4"/>
    <n v="3.8"/>
    <s v="Нормольно"/>
    <n v="-1"/>
    <s v="хуже"/>
  </r>
  <r>
    <n v="12973"/>
    <s v="Данагуль Кенжебаева"/>
    <s v="12.11.1985"/>
    <x v="0"/>
    <x v="1"/>
    <n v="5"/>
    <n v="3"/>
    <n v="3"/>
    <n v="4"/>
    <n v="4"/>
    <n v="3.8"/>
    <s v="Нормольно"/>
    <n v="-1"/>
    <s v="хуже"/>
  </r>
  <r>
    <n v="12982"/>
    <s v="Даулет Нуржанов"/>
    <s v="09.03.1999"/>
    <x v="1"/>
    <x v="1"/>
    <n v="4"/>
    <n v="5"/>
    <n v="2"/>
    <n v="4"/>
    <n v="5"/>
    <n v="4"/>
    <s v="Хорошо"/>
    <n v="1"/>
    <s v="лучше"/>
  </r>
  <r>
    <n v="12999"/>
    <s v="Даулет Садвакасов"/>
    <s v="20.12.1994"/>
    <x v="1"/>
    <x v="1"/>
    <n v="5"/>
    <n v="5"/>
    <n v="5"/>
    <n v="3"/>
    <n v="3"/>
    <n v="4.2"/>
    <s v="Хорошо"/>
    <n v="-2"/>
    <s v="хуже"/>
  </r>
  <r>
    <n v="13031"/>
    <s v="Диляра Өтежанқызы"/>
    <s v="09.07.1986"/>
    <x v="0"/>
    <x v="1"/>
    <n v="4"/>
    <n v="3"/>
    <n v="4"/>
    <n v="5"/>
    <n v="4"/>
    <n v="4"/>
    <s v="Хорошо"/>
    <n v="0"/>
    <s v="хуже"/>
  </r>
  <r>
    <n v="13021"/>
    <s v="Динара Серікқызы"/>
    <s v="12.07.1989"/>
    <x v="0"/>
    <x v="1"/>
    <n v="3"/>
    <n v="1"/>
    <n v="1"/>
    <n v="5"/>
    <n v="4"/>
    <n v="2.8"/>
    <s v="не очень"/>
    <n v="1"/>
    <s v="лучше"/>
  </r>
  <r>
    <n v="13006"/>
    <s v="Ерасыл Төлеғенұлы"/>
    <s v="16.09.1990"/>
    <x v="1"/>
    <x v="0"/>
    <n v="4"/>
    <n v="3"/>
    <n v="4"/>
    <n v="3"/>
    <n v="3"/>
    <n v="3.4"/>
    <s v="Нормольно"/>
    <n v="-1"/>
    <s v="хуже"/>
  </r>
  <r>
    <n v="13026"/>
    <s v="Ерболат Абайұлы"/>
    <s v="20.04.1995"/>
    <x v="1"/>
    <x v="0"/>
    <n v="4"/>
    <n v="4"/>
    <n v="3"/>
    <n v="4"/>
    <n v="2"/>
    <n v="3.4"/>
    <s v="Нормольно"/>
    <n v="-2"/>
    <s v="хуже"/>
  </r>
  <r>
    <n v="12972"/>
    <s v="Ерболат Тулебаев"/>
    <s v="15.07.1990"/>
    <x v="1"/>
    <x v="0"/>
    <n v="4"/>
    <n v="4"/>
    <n v="2"/>
    <n v="3"/>
    <n v="5"/>
    <n v="3.6"/>
    <s v="Нормольно"/>
    <n v="1"/>
    <s v="лучше"/>
  </r>
  <r>
    <n v="12990"/>
    <s v="Еркебулан Бекбаев"/>
    <s v="07.07.1997"/>
    <x v="1"/>
    <x v="1"/>
    <n v="2"/>
    <n v="2"/>
    <n v="2"/>
    <n v="2"/>
    <n v="5"/>
    <n v="2.6"/>
    <s v="не очень"/>
    <n v="3"/>
    <s v="лучше"/>
  </r>
  <r>
    <n v="13018"/>
    <s v="Әдель Бағдатұлы"/>
    <s v="08.03.1996"/>
    <x v="1"/>
    <x v="0"/>
    <n v="4"/>
    <n v="4"/>
    <n v="5"/>
    <n v="5"/>
    <n v="2"/>
    <n v="4"/>
    <s v="Хорошо"/>
    <n v="-2"/>
    <s v="хуже"/>
  </r>
  <r>
    <n v="13011"/>
    <s v="Әділет Тайғанұлы"/>
    <s v="08.04.1998"/>
    <x v="1"/>
    <x v="1"/>
    <n v="4"/>
    <n v="5"/>
    <n v="5"/>
    <n v="4"/>
    <n v="3"/>
    <n v="4.2"/>
    <s v="Хорошо"/>
    <n v="-1"/>
    <s v="хуже"/>
  </r>
  <r>
    <n v="12995"/>
    <s v="Жанболат Жумабаев"/>
    <s v="17.06.1996"/>
    <x v="1"/>
    <x v="1"/>
    <n v="2"/>
    <n v="2"/>
    <n v="4"/>
    <n v="4"/>
    <n v="3"/>
    <n v="3"/>
    <s v="Нормольно"/>
    <n v="1"/>
    <s v="лучше"/>
  </r>
  <r>
    <n v="12996"/>
    <s v="Жансая Серикова"/>
    <s v="14.04.1989"/>
    <x v="0"/>
    <x v="0"/>
    <n v="4"/>
    <n v="3"/>
    <n v="5"/>
    <n v="5"/>
    <n v="2"/>
    <n v="3.8"/>
    <s v="Нормольно"/>
    <n v="-2"/>
    <s v="хуже"/>
  </r>
  <r>
    <n v="13030"/>
    <s v="Жасұлан Батырханұлы"/>
    <s v="18.12.1989"/>
    <x v="1"/>
    <x v="0"/>
    <n v="5"/>
    <n v="5"/>
    <n v="4"/>
    <n v="3"/>
    <n v="3"/>
    <n v="4"/>
    <s v="Хорошо"/>
    <n v="-2"/>
    <s v="хуже"/>
  </r>
  <r>
    <n v="13013"/>
    <s v="Жасұлан Мейірбекұлы"/>
    <s v="21.05.1995"/>
    <x v="1"/>
    <x v="1"/>
    <n v="4"/>
    <n v="5"/>
    <n v="4"/>
    <n v="5"/>
    <n v="5"/>
    <n v="4.5999999999999996"/>
    <s v="Хорошо"/>
    <n v="1"/>
    <s v="лучше"/>
  </r>
  <r>
    <n v="13019"/>
    <s v="Жібек Қуанышқызы"/>
    <s v="27.06.1977"/>
    <x v="0"/>
    <x v="1"/>
    <n v="3"/>
    <n v="3"/>
    <n v="4"/>
    <n v="4"/>
    <n v="2"/>
    <n v="3.2"/>
    <s v="Нормольно"/>
    <n v="-1"/>
    <s v="хуже"/>
  </r>
  <r>
    <n v="12981"/>
    <s v="Камила Утекова"/>
    <s v="15.05.1998"/>
    <x v="0"/>
    <x v="0"/>
    <n v="3"/>
    <n v="3"/>
    <n v="4"/>
    <n v="5"/>
    <n v="4"/>
    <n v="3.8"/>
    <s v="Нормольно"/>
    <n v="1"/>
    <s v="лучше"/>
  </r>
  <r>
    <n v="13024"/>
    <s v="Қайрат Бағдатұлы"/>
    <s v="15.10.1985"/>
    <x v="1"/>
    <x v="0"/>
    <n v="3"/>
    <n v="4"/>
    <n v="5"/>
    <n v="5"/>
    <n v="4"/>
    <n v="4.2"/>
    <s v="Хорошо"/>
    <n v="1"/>
    <s v="лучше"/>
  </r>
  <r>
    <n v="13008"/>
    <s v="Қанат Әбенұлы"/>
    <s v="07.11.1978"/>
    <x v="1"/>
    <x v="0"/>
    <n v="5"/>
    <n v="3"/>
    <n v="2"/>
    <n v="4"/>
    <n v="4"/>
    <n v="3.6"/>
    <s v="Нормольно"/>
    <n v="-1"/>
    <s v="хуже"/>
  </r>
  <r>
    <n v="13009"/>
    <s v="Лаура Сәрсенбекқызы"/>
    <s v="05.03.1992"/>
    <x v="0"/>
    <x v="1"/>
    <n v="2"/>
    <n v="2"/>
    <n v="3"/>
    <n v="3"/>
    <n v="4"/>
    <n v="2.8"/>
    <s v="не очень"/>
    <n v="2"/>
    <s v="лучше"/>
  </r>
  <r>
    <n v="12984"/>
    <s v="Марат Сатыбалдиев"/>
    <s v="05.06.1999"/>
    <x v="1"/>
    <x v="0"/>
    <n v="2"/>
    <n v="3"/>
    <n v="3"/>
    <n v="3"/>
    <n v="4"/>
    <n v="3"/>
    <s v="Нормольно"/>
    <n v="2"/>
    <s v="лучше"/>
  </r>
  <r>
    <n v="12974"/>
    <s v="Марат Сатыбалдиев"/>
    <s v="05.06.1999"/>
    <x v="1"/>
    <x v="0"/>
    <n v="2"/>
    <n v="3"/>
    <n v="3"/>
    <n v="3"/>
    <n v="4"/>
    <n v="3"/>
    <s v="Нормольно"/>
    <n v="2"/>
    <s v="лучше"/>
  </r>
  <r>
    <n v="13025"/>
    <s v="Мерей Болатқызы"/>
    <s v="11.09.1982"/>
    <x v="0"/>
    <x v="1"/>
    <n v="4"/>
    <n v="5"/>
    <n v="4"/>
    <n v="4"/>
    <n v="2"/>
    <n v="3.8"/>
    <s v="Нормольно"/>
    <n v="-2"/>
    <s v="хуже"/>
  </r>
  <r>
    <n v="13010"/>
    <s v="Мәдина Тасболатқызы"/>
    <s v="23.12.1979"/>
    <x v="0"/>
    <x v="0"/>
    <n v="5"/>
    <n v="4"/>
    <n v="4"/>
    <n v="5"/>
    <n v="5"/>
    <n v="4.5999999999999996"/>
    <s v="Хорошо"/>
    <n v="0"/>
    <s v="хуже"/>
  </r>
  <r>
    <n v="12993"/>
    <s v="Мирас Абдуллин"/>
    <s v="05.03.1981"/>
    <x v="1"/>
    <x v="1"/>
    <n v="5"/>
    <n v="3"/>
    <n v="2"/>
    <n v="4"/>
    <n v="3"/>
    <n v="3.4"/>
    <s v="Нормольно"/>
    <n v="-2"/>
    <s v="хуже"/>
  </r>
  <r>
    <n v="13022"/>
    <s v="Мұхамед Асқарұлы"/>
    <s v="01.05.1986"/>
    <x v="1"/>
    <x v="0"/>
    <n v="4"/>
    <n v="3"/>
    <n v="4"/>
    <n v="4"/>
    <n v="5"/>
    <n v="4"/>
    <s v="Хорошо"/>
    <n v="1"/>
    <s v="лучше"/>
  </r>
  <r>
    <n v="12997"/>
    <s v="Нурлан Оразгалиев"/>
    <s v="27.09.1985"/>
    <x v="1"/>
    <x v="1"/>
    <n v="3"/>
    <n v="5"/>
    <n v="4"/>
    <n v="2"/>
    <n v="5"/>
    <n v="3.8"/>
    <s v="Нормольно"/>
    <n v="2"/>
    <s v="лучше"/>
  </r>
  <r>
    <n v="13028"/>
    <s v="Нұрсұлтан Мағжанұлы"/>
    <s v="27.05.1978"/>
    <x v="1"/>
    <x v="0"/>
    <n v="3"/>
    <n v="4"/>
    <n v="4"/>
    <n v="4"/>
    <n v="3"/>
    <n v="3.6"/>
    <s v="Нормольно"/>
    <n v="0"/>
    <s v="хуже"/>
  </r>
  <r>
    <n v="13012"/>
    <s v="Раушан Кайратқызы"/>
    <s v="17.06.1982"/>
    <x v="0"/>
    <x v="0"/>
    <n v="3"/>
    <n v="3"/>
    <n v="4"/>
    <n v="5"/>
    <n v="4"/>
    <n v="3.8"/>
    <s v="Нормольно"/>
    <n v="1"/>
    <s v="лучше"/>
  </r>
  <r>
    <n v="12978"/>
    <s v="Руслан Жунусов"/>
    <s v="23.04.1988"/>
    <x v="1"/>
    <x v="1"/>
    <n v="3"/>
    <n v="2"/>
    <n v="4"/>
    <n v="4"/>
    <n v="3"/>
    <n v="3.2"/>
    <s v="Нормольно"/>
    <n v="0"/>
    <s v="хуже"/>
  </r>
  <r>
    <n v="12992"/>
    <s v="Руслан Мурзагулов"/>
    <s v="16.08.1980"/>
    <x v="1"/>
    <x v="1"/>
    <n v="3"/>
    <n v="3"/>
    <n v="3"/>
    <n v="5"/>
    <n v="4"/>
    <n v="3.6"/>
    <s v="Нормольно"/>
    <n v="1"/>
    <s v="лучше"/>
  </r>
  <r>
    <n v="13016"/>
    <s v="Сағындық Сабырұлы"/>
    <s v="02.09.1983"/>
    <x v="1"/>
    <x v="0"/>
    <n v="4"/>
    <n v="3"/>
    <n v="5"/>
    <n v="4"/>
    <n v="5"/>
    <n v="4.2"/>
    <s v="Хорошо"/>
    <n v="1"/>
    <s v="лучше"/>
  </r>
  <r>
    <n v="12985"/>
    <s v="Сауле Абдукаримова"/>
    <s v="19.02.1977"/>
    <x v="0"/>
    <x v="1"/>
    <n v="3"/>
    <n v="3"/>
    <n v="4"/>
    <n v="4"/>
    <n v="3"/>
    <n v="3.4"/>
    <s v="Нормольно"/>
    <n v="0"/>
    <s v="хуже"/>
  </r>
  <r>
    <n v="12975"/>
    <s v="Сауле Абдукаримова"/>
    <s v="19.02.1977"/>
    <x v="0"/>
    <x v="1"/>
    <n v="3"/>
    <n v="3"/>
    <n v="4"/>
    <n v="4"/>
    <n v="5"/>
    <n v="3.8"/>
    <s v="Нормольно"/>
    <n v="2"/>
    <s v="лучше"/>
  </r>
  <r>
    <n v="13029"/>
    <s v="Сауле Сатқалиқызы"/>
    <s v="06.02.1988"/>
    <x v="0"/>
    <x v="1"/>
    <n v="2"/>
    <n v="3"/>
    <n v="5"/>
    <n v="5"/>
    <n v="2"/>
    <n v="3.4"/>
    <s v="Нормольно"/>
    <n v="0"/>
    <s v="хуже"/>
  </r>
  <r>
    <n v="13015"/>
    <s v="Темірлан Асқарұлы"/>
    <s v="10.12.1990"/>
    <x v="1"/>
    <x v="1"/>
    <n v="5"/>
    <n v="5"/>
    <n v="3"/>
    <n v="4"/>
    <n v="5"/>
    <n v="4.4000000000000004"/>
    <s v="Хорошо"/>
    <n v="0"/>
    <s v="хуже"/>
  </r>
  <r>
    <n v="12988"/>
    <s v="Тимур Асанов"/>
    <s v="25.05.1987"/>
    <x v="1"/>
    <x v="1"/>
    <n v="3"/>
    <n v="4"/>
    <n v="4"/>
    <n v="3"/>
    <n v="4"/>
    <n v="3.6"/>
    <s v="Нормольно"/>
    <n v="1"/>
    <s v="лучше"/>
  </r>
  <r>
    <n v="12980"/>
    <s v="Тимур Болатов"/>
    <s v="07.01.1981"/>
    <x v="1"/>
    <x v="1"/>
    <n v="5"/>
    <n v="4"/>
    <n v="3"/>
    <n v="2"/>
    <n v="5"/>
    <n v="3.8"/>
    <s v="Нормольно"/>
    <n v="0"/>
    <s v="хуже"/>
  </r>
  <r>
    <n v="13059"/>
    <s v="Ағылшат Рустемұлы"/>
    <s v="04.12.1979"/>
    <x v="1"/>
    <x v="1"/>
    <n v="3"/>
    <n v="2"/>
    <n v="3"/>
    <n v="5"/>
    <n v="4"/>
    <n v="3.4"/>
    <s v="Нормольно"/>
    <n v="1"/>
    <s v="лучше"/>
  </r>
  <r>
    <n v="13091"/>
    <s v="Азамат Исабеков"/>
    <s v="2.06.1994"/>
    <x v="0"/>
    <x v="1"/>
    <n v="4"/>
    <n v="4"/>
    <n v="4"/>
    <n v="4"/>
    <n v="2"/>
    <n v="3.6"/>
    <s v="Нормольно"/>
    <n v="-2"/>
    <s v="хуже"/>
  </r>
  <r>
    <n v="13063"/>
    <s v="Айбек Нұрланов"/>
    <s v="4,4.хуже."/>
    <x v="1"/>
    <x v="0"/>
    <n v="5"/>
    <n v="5"/>
    <n v="3"/>
    <n v="5"/>
    <n v="4"/>
    <n v="4.4000000000000004"/>
    <s v="Хорошо"/>
    <n v="-1"/>
    <s v="хуже"/>
  </r>
  <r>
    <n v="13101"/>
    <s v="Айгерим Турганбаева"/>
    <d v="1998-09-10T00:00:00"/>
    <x v="0"/>
    <x v="0"/>
    <n v="5"/>
    <n v="4"/>
    <n v="4"/>
    <n v="5"/>
    <n v="5"/>
    <n v="4.5999999999999996"/>
    <s v="Хорошо"/>
    <n v="0"/>
    <s v="хуже"/>
  </r>
  <r>
    <n v="13111"/>
    <s v="Айгерим Турганбаева"/>
    <s v="07.02.1999"/>
    <x v="1"/>
    <x v="0"/>
    <n v="3"/>
    <n v="2"/>
    <n v="3"/>
    <n v="4"/>
    <n v="5"/>
    <n v="3.4"/>
    <s v="Нормольно"/>
    <n v="2"/>
    <s v="лучше"/>
  </r>
  <r>
    <n v="13094"/>
    <s v="Айгерім Жақыпова"/>
    <s v="18.07.1992"/>
    <x v="1"/>
    <x v="1"/>
    <n v="5"/>
    <n v="5"/>
    <n v="3"/>
    <n v="3"/>
    <n v="4"/>
    <n v="4"/>
    <s v="Хорошо"/>
    <n v="-1"/>
    <s v="хуже"/>
  </r>
  <r>
    <n v="13036"/>
    <s v="Айгүл Мейірбекқызы"/>
    <s v="19.03.1996"/>
    <x v="0"/>
    <x v="0"/>
    <n v="3"/>
    <n v="2"/>
    <n v="1"/>
    <n v="4"/>
    <n v="4"/>
    <n v="2.8"/>
    <s v="не очень"/>
    <n v="1"/>
    <s v="лучше"/>
  </r>
  <r>
    <n v="13052"/>
    <s v="Айзере Болатқызы"/>
    <s v="20.07.1999"/>
    <x v="0"/>
    <x v="0"/>
    <n v="5"/>
    <n v="2"/>
    <n v="3"/>
    <n v="4"/>
    <n v="4"/>
    <n v="3.6"/>
    <s v="Нормольно"/>
    <n v="-1"/>
    <s v="хуже"/>
  </r>
  <r>
    <n v="13107"/>
    <s v="Айзере Толепбергенова"/>
    <d v="1997-05-05T00:00:00"/>
    <x v="0"/>
    <x v="0"/>
    <n v="2"/>
    <n v="2"/>
    <n v="3"/>
    <n v="3"/>
    <n v="5"/>
    <n v="3"/>
    <s v="Нормольно"/>
    <n v="3"/>
    <s v="лучше"/>
  </r>
  <r>
    <n v="13078"/>
    <s v="Айым Серікқызы"/>
    <s v="14.08.1985"/>
    <x v="1"/>
    <x v="1"/>
    <n v="2"/>
    <n v="2"/>
    <n v="5"/>
    <n v="4"/>
    <n v="2"/>
    <n v="3"/>
    <s v="Нормольно"/>
    <n v="0"/>
    <s v="хуже"/>
  </r>
  <r>
    <n v="13088"/>
    <s v="Ақбота Жанәбілова"/>
    <s v="13.03.1993"/>
    <x v="0"/>
    <x v="0"/>
    <n v="5"/>
    <n v="2"/>
    <n v="4"/>
    <n v="2"/>
    <n v="4"/>
    <n v="3.4"/>
    <s v="Нормольно"/>
    <n v="-1"/>
    <s v="хуже"/>
  </r>
  <r>
    <n v="13046"/>
    <s v="Ақерке Асылбекқызы"/>
    <s v="05.05.1987"/>
    <x v="0"/>
    <x v="0"/>
    <n v="3"/>
    <n v="4"/>
    <n v="1"/>
    <n v="5"/>
    <n v="2"/>
    <n v="3"/>
    <s v="Нормольно"/>
    <n v="-1"/>
    <s v="хуже"/>
  </r>
  <r>
    <n v="13074"/>
    <s v="Алина Жақсылықова"/>
    <s v="20.08.2009"/>
    <x v="0"/>
    <x v="0"/>
    <n v="3"/>
    <n v="2"/>
    <n v="4"/>
    <n v="3"/>
    <n v="4"/>
    <n v="3.2"/>
    <s v="Нормольно"/>
    <n v="1"/>
    <s v="лучше"/>
  </r>
  <r>
    <n v="13053"/>
    <s v="Алина Сағатқызы"/>
    <s v="12.06.1984"/>
    <x v="0"/>
    <x v="1"/>
    <n v="2"/>
    <n v="3"/>
    <n v="4"/>
    <n v="3"/>
    <n v="3"/>
    <n v="3"/>
    <s v="Нормольно"/>
    <n v="1"/>
    <s v="лучше"/>
  </r>
  <r>
    <n v="13056"/>
    <s v="Алма Бауыржанқызы"/>
    <s v="16.09.1992"/>
    <x v="0"/>
    <x v="0"/>
    <n v="3"/>
    <n v="5"/>
    <n v="1"/>
    <n v="4"/>
    <n v="2"/>
    <n v="3"/>
    <s v="Нормольно"/>
    <n v="-1"/>
    <s v="хуже"/>
  </r>
  <r>
    <n v="13073"/>
    <s v="Арман Тұрсынов"/>
    <s v="15.05.2005"/>
    <x v="1"/>
    <x v="0"/>
    <n v="5"/>
    <n v="2"/>
    <n v="4"/>
    <n v="2"/>
    <n v="2"/>
    <n v="3"/>
    <s v="Нормольно"/>
    <n v="-3"/>
    <s v="хуже"/>
  </r>
  <r>
    <n v="13099"/>
    <s v="Арсен Нұрғалиев"/>
    <s v="5.08.2007"/>
    <x v="0"/>
    <x v="0"/>
    <n v="2"/>
    <n v="2"/>
    <n v="2"/>
    <n v="4"/>
    <n v="5"/>
    <n v="3"/>
    <s v="Нормольно"/>
    <n v="3"/>
    <s v="лучше"/>
  </r>
  <r>
    <n v="13080"/>
    <s v="Аружан Қанатова"/>
    <s v="23.05.1985"/>
    <x v="0"/>
    <x v="1"/>
    <n v="5"/>
    <n v="4"/>
    <n v="5"/>
    <n v="4"/>
    <n v="5"/>
    <n v="4.5999999999999996"/>
    <s v="Хорошо"/>
    <n v="0"/>
    <s v="хуже"/>
  </r>
  <r>
    <n v="13066"/>
    <s v="Аружан Төлегенова"/>
    <s v="12.02.2003"/>
    <x v="0"/>
    <x v="1"/>
    <n v="2"/>
    <n v="2"/>
    <n v="4"/>
    <n v="5"/>
    <n v="3"/>
    <n v="3.2"/>
    <s v="Нормольно"/>
    <n v="1"/>
    <s v="лучше"/>
  </r>
  <r>
    <n v="13103"/>
    <s v="Асель Айтбаева"/>
    <d v="1995-08-18T00:00:00"/>
    <x v="0"/>
    <x v="0"/>
    <n v="2"/>
    <n v="3"/>
    <n v="4"/>
    <n v="2"/>
    <n v="2"/>
    <n v="2.6"/>
    <s v="не очень"/>
    <n v="0"/>
    <s v="хуже"/>
  </r>
  <r>
    <n v="13113"/>
    <s v="Асель Айтбаева"/>
    <s v="27.12.2009"/>
    <x v="1"/>
    <x v="0"/>
    <n v="3"/>
    <n v="5"/>
    <n v="2"/>
    <n v="5"/>
    <n v="4"/>
    <n v="3.8"/>
    <s v="Нормольно"/>
    <n v="1"/>
    <s v="лучше"/>
  </r>
  <r>
    <n v="13038"/>
    <s v="Асель Жанболатқызы"/>
    <s v="31.12.1999"/>
    <x v="0"/>
    <x v="0"/>
    <n v="2"/>
    <n v="3"/>
    <n v="2"/>
    <n v="5"/>
    <n v="2"/>
    <n v="2.8"/>
    <s v="не очень"/>
    <n v="0"/>
    <s v="хуже"/>
  </r>
  <r>
    <n v="13044"/>
    <s v="Аяулым Серікқызы"/>
    <s v="07.03.1985"/>
    <x v="0"/>
    <x v="0"/>
    <n v="4"/>
    <n v="2"/>
    <n v="5"/>
    <n v="5"/>
    <n v="4"/>
    <n v="4"/>
    <s v="Хорошо"/>
    <n v="0"/>
    <s v="хуже"/>
  </r>
  <r>
    <n v="13081"/>
    <s v="Бауыржан Иманов"/>
    <s v="29.09.2008"/>
    <x v="1"/>
    <x v="1"/>
    <n v="2"/>
    <n v="3"/>
    <n v="4"/>
    <n v="5"/>
    <n v="5"/>
    <n v="3.8"/>
    <s v="Нормольно"/>
    <n v="3"/>
    <s v="лучше"/>
  </r>
  <r>
    <n v="13108"/>
    <s v="Бауыржан Кенжебаев"/>
    <d v="1988-03-19T00:00:00"/>
    <x v="1"/>
    <x v="1"/>
    <n v="4"/>
    <n v="5"/>
    <n v="4"/>
    <n v="4"/>
    <n v="3"/>
    <n v="4"/>
    <s v="Хорошо"/>
    <n v="-1"/>
    <s v="хуже"/>
  </r>
  <r>
    <n v="13035"/>
    <s v="Бауыржан Толеубеков"/>
    <s v="09.10.1980"/>
    <x v="1"/>
    <x v="1"/>
    <n v="5"/>
    <n v="3"/>
    <n v="4"/>
    <n v="2"/>
    <n v="4"/>
    <n v="3.6"/>
    <s v="Нормольно"/>
    <n v="-1"/>
    <s v="хуже"/>
  </r>
  <r>
    <n v="13041"/>
    <s v="Бекжан Маратұлы"/>
    <s v="20.11.1982"/>
    <x v="1"/>
    <x v="1"/>
    <n v="5"/>
    <n v="2"/>
    <n v="4"/>
    <n v="3"/>
    <n v="4"/>
    <n v="3.6"/>
    <s v="Нормольно"/>
    <n v="-1"/>
    <s v="хуже"/>
  </r>
  <r>
    <n v="13097"/>
    <s v="Бекзат Әлімбеков"/>
    <s v="13.04.1993"/>
    <x v="0"/>
    <x v="0"/>
    <n v="4"/>
    <n v="4"/>
    <n v="5"/>
    <n v="2"/>
    <n v="3"/>
    <n v="3.6"/>
    <s v="Нормольно"/>
    <n v="-1"/>
    <s v="хуже"/>
  </r>
  <r>
    <n v="13109"/>
    <s v="Гульнур Сатыбалдиева"/>
    <d v="1994-11-28T00:00:00"/>
    <x v="0"/>
    <x v="0"/>
    <n v="3"/>
    <n v="4"/>
    <n v="5"/>
    <n v="3"/>
    <n v="5"/>
    <n v="4"/>
    <s v="Хорошо"/>
    <n v="2"/>
    <s v="лучше"/>
  </r>
  <r>
    <n v="13072"/>
    <s v="Гүлназ Ермекова"/>
    <s v="18.11.2008"/>
    <x v="1"/>
    <x v="0"/>
    <n v="2"/>
    <n v="3"/>
    <n v="5"/>
    <n v="2"/>
    <n v="4"/>
    <n v="3.2"/>
    <s v="Нормольно"/>
    <n v="2"/>
    <s v="лучше"/>
  </r>
  <r>
    <n v="13060"/>
    <s v="Гүлнар Талғатқызы"/>
    <s v="17.04.1988"/>
    <x v="0"/>
    <x v="0"/>
    <n v="5"/>
    <n v="5"/>
    <n v="2"/>
    <n v="2"/>
    <n v="2"/>
    <n v="3.2"/>
    <s v="Нормольно"/>
    <n v="-3"/>
    <s v="хуже"/>
  </r>
  <r>
    <n v="13064"/>
    <s v="Дана Сейтова"/>
    <s v="3,6.хуже."/>
    <x v="0"/>
    <x v="0"/>
    <n v="5"/>
    <n v="4"/>
    <n v="2"/>
    <n v="5"/>
    <n v="2"/>
    <n v="3.6"/>
    <s v="Нормольно"/>
    <n v="-3"/>
    <s v="хуже"/>
  </r>
  <r>
    <n v="13100"/>
    <s v="Данияр Маханбетов"/>
    <d v="1992-06-15T00:00:00"/>
    <x v="1"/>
    <x v="1"/>
    <n v="4"/>
    <n v="3"/>
    <n v="5"/>
    <n v="4"/>
    <n v="2"/>
    <n v="3.6"/>
    <s v="Нормольно"/>
    <n v="-2"/>
    <s v="хуже"/>
  </r>
  <r>
    <n v="13110"/>
    <s v="Данияр Маханбетов"/>
    <s v="02.04.2007"/>
    <x v="1"/>
    <x v="1"/>
    <n v="3"/>
    <n v="4"/>
    <n v="3"/>
    <n v="2"/>
    <n v="5"/>
    <n v="3.4"/>
    <s v="Нормольно"/>
    <n v="2"/>
    <s v="лучше"/>
  </r>
  <r>
    <n v="13033"/>
    <s v="Данияр Нұрбекұлы"/>
    <s v="15.08.1986"/>
    <x v="1"/>
    <x v="1"/>
    <n v="3"/>
    <n v="4"/>
    <n v="5"/>
    <n v="3"/>
    <n v="2"/>
    <n v="3.4"/>
    <s v="Нормольно"/>
    <n v="-1"/>
    <s v="хуже"/>
  </r>
  <r>
    <n v="13069"/>
    <s v="Данияр Сәрсенов"/>
    <s v="11.03.2010"/>
    <x v="0"/>
    <x v="1"/>
    <n v="4"/>
    <n v="3"/>
    <n v="3"/>
    <n v="3"/>
    <n v="5"/>
    <n v="3.6"/>
    <s v="Нормольно"/>
    <n v="1"/>
    <s v="лучше"/>
  </r>
  <r>
    <n v="13085"/>
    <s v="Дастан Айдаров"/>
    <s v="25.08.1999"/>
    <x v="0"/>
    <x v="1"/>
    <n v="3"/>
    <n v="5"/>
    <n v="2"/>
    <n v="4"/>
    <n v="4"/>
    <n v="3.6"/>
    <s v="Нормольно"/>
    <n v="1"/>
    <s v="лучше"/>
  </r>
  <r>
    <n v="13076"/>
    <s v="Диана Әлиева"/>
    <s v="3.07.1997"/>
    <x v="1"/>
    <x v="1"/>
    <n v="2"/>
    <n v="5"/>
    <n v="5"/>
    <n v="4"/>
    <n v="3"/>
    <n v="3.8"/>
    <s v="Нормольно"/>
    <n v="1"/>
    <s v="лучше"/>
  </r>
  <r>
    <n v="13058"/>
    <s v="Дильназ Саматқызы"/>
    <s v="23.11.1991"/>
    <x v="0"/>
    <x v="0"/>
    <n v="1"/>
    <n v="4"/>
    <n v="4"/>
    <n v="3"/>
    <n v="5"/>
    <n v="3.4"/>
    <s v="Нормольно"/>
    <n v="4"/>
    <s v="лучше"/>
  </r>
  <r>
    <n v="13095"/>
    <s v="Елдос Мақсұтов"/>
    <s v="9.10.2006"/>
    <x v="0"/>
    <x v="0"/>
    <n v="2"/>
    <n v="5"/>
    <n v="4"/>
    <n v="2"/>
    <n v="5"/>
    <n v="3.6"/>
    <s v="Нормольно"/>
    <n v="3"/>
    <s v="лучше"/>
  </r>
  <r>
    <n v="13087"/>
    <s v="Ерасыл Баймұратов"/>
    <s v="5.04.1994"/>
    <x v="0"/>
    <x v="1"/>
    <n v="3"/>
    <n v="3"/>
    <n v="5"/>
    <n v="2"/>
    <n v="3"/>
    <n v="3.2"/>
    <s v="Нормольно"/>
    <n v="0"/>
    <s v="хуже"/>
  </r>
  <r>
    <n v="13061"/>
    <s v="Ерасыл Дастанұлы"/>
    <s v="06.10.1996"/>
    <x v="1"/>
    <x v="1"/>
    <n v="4"/>
    <n v="1"/>
    <n v="5"/>
    <n v="4"/>
    <n v="2"/>
    <n v="3.2"/>
    <s v="Нормольно"/>
    <n v="-2"/>
    <s v="хуже"/>
  </r>
  <r>
    <n v="13102"/>
    <s v="Ерасыл Даулетов"/>
    <d v="1987-04-22T00:00:00"/>
    <x v="1"/>
    <x v="1"/>
    <n v="3"/>
    <n v="2"/>
    <n v="3"/>
    <n v="3"/>
    <n v="2"/>
    <n v="2.6"/>
    <s v="не очень"/>
    <n v="-1"/>
    <s v="хуже"/>
  </r>
  <r>
    <n v="13112"/>
    <s v="Ерасыл Даулетов"/>
    <s v="06.04.2000"/>
    <x v="0"/>
    <x v="0"/>
    <n v="4"/>
    <n v="5"/>
    <n v="3"/>
    <n v="5"/>
    <n v="4"/>
    <n v="4.2"/>
    <s v="Хорошо"/>
    <n v="0"/>
    <s v="хуже"/>
  </r>
  <r>
    <n v="13037"/>
    <s v="Ербол Айдосұлы"/>
    <s v="25.07.1978"/>
    <x v="1"/>
    <x v="1"/>
    <n v="4"/>
    <n v="4"/>
    <n v="5"/>
    <n v="4"/>
    <n v="5"/>
    <n v="4.4000000000000004"/>
    <s v="Хорошо"/>
    <n v="1"/>
    <s v="лучше"/>
  </r>
  <r>
    <n v="13065"/>
    <s v="Ержан Қасымов"/>
    <s v="23.03.2007"/>
    <x v="1"/>
    <x v="0"/>
    <n v="4"/>
    <n v="2"/>
    <n v="4"/>
    <n v="2"/>
    <n v="3"/>
    <n v="3"/>
    <s v="Нормольно"/>
    <n v="-1"/>
    <s v="хуже"/>
  </r>
  <r>
    <n v="13083"/>
    <s v="Әлихан Қожахметов"/>
    <s v="24.10.2006"/>
    <x v="1"/>
    <x v="1"/>
    <n v="2"/>
    <n v="4"/>
    <n v="3"/>
    <n v="5"/>
    <n v="4"/>
    <n v="3.6"/>
    <s v="Нормольно"/>
    <n v="2"/>
    <s v="лучше"/>
  </r>
  <r>
    <n v="13090"/>
    <s v="Әмина Қалиева"/>
    <s v="25.09.2007"/>
    <x v="1"/>
    <x v="1"/>
    <n v="4"/>
    <n v="3"/>
    <n v="5"/>
    <n v="2"/>
    <n v="5"/>
    <n v="3.8"/>
    <s v="Нормольно"/>
    <n v="1"/>
    <s v="лучше"/>
  </r>
  <r>
    <n v="13070"/>
    <s v="Әсел Мұратқызы"/>
    <s v="17.05.1988"/>
    <x v="0"/>
    <x v="1"/>
    <n v="4"/>
    <n v="3"/>
    <n v="2"/>
    <n v="4"/>
    <n v="2"/>
    <n v="3"/>
    <s v="Нормольно"/>
    <n v="-2"/>
    <s v="хуже"/>
  </r>
  <r>
    <n v="13096"/>
    <s v="Әсем Бақытқызы"/>
    <s v="23.09.1985"/>
    <x v="1"/>
    <x v="0"/>
    <n v="4"/>
    <n v="3"/>
    <n v="4"/>
    <n v="3"/>
    <n v="4"/>
    <n v="3.6"/>
    <s v="Нормольно"/>
    <n v="0"/>
    <s v="хуже"/>
  </r>
  <r>
    <n v="13082"/>
    <s v="Жансая Нұрбекова"/>
    <s v="4.08.1988"/>
    <x v="1"/>
    <x v="0"/>
    <n v="5"/>
    <n v="4"/>
    <n v="3"/>
    <n v="2"/>
    <n v="3"/>
    <n v="3.4"/>
    <s v="Нормольно"/>
    <n v="-2"/>
    <s v="хуже"/>
  </r>
  <r>
    <n v="13105"/>
    <s v="Жансая Оразбекова"/>
    <d v="1993-12-26T00:00:00"/>
    <x v="0"/>
    <x v="0"/>
    <n v="4"/>
    <n v="4"/>
    <n v="4"/>
    <n v="3"/>
    <n v="2"/>
    <n v="3.4"/>
    <s v="Нормольно"/>
    <n v="-2"/>
    <s v="хуже"/>
  </r>
  <r>
    <n v="13115"/>
    <s v="Жансая Оразбекова"/>
    <s v="25.04.1999"/>
    <x v="1"/>
    <x v="1"/>
    <n v="4"/>
    <n v="4"/>
    <n v="4"/>
    <n v="2"/>
    <n v="4"/>
    <n v="3.6"/>
    <s v="Нормольно"/>
    <n v="0"/>
    <s v="хуже"/>
  </r>
  <r>
    <n v="13047"/>
    <s v="Жасқан Ардакұлы"/>
    <s v="22.02.1990"/>
    <x v="1"/>
    <x v="1"/>
    <n v="4"/>
    <n v="5"/>
    <n v="3"/>
    <n v="2"/>
    <n v="2"/>
    <n v="3.2"/>
    <s v="Нормольно"/>
    <n v="-2"/>
    <s v="хуже"/>
  </r>
  <r>
    <n v="13034"/>
    <s v="Жұлдыз Айтбекқызы"/>
    <s v="21.04.1992"/>
    <x v="0"/>
    <x v="0"/>
    <n v="4"/>
    <n v="5"/>
    <n v="3"/>
    <n v="4"/>
    <n v="5"/>
    <n v="4.2"/>
    <s v="Хорошо"/>
    <n v="1"/>
    <s v="лучше"/>
  </r>
  <r>
    <n v="13098"/>
    <s v="Інжу Қайратова"/>
    <s v="14.08.1997"/>
    <x v="1"/>
    <x v="1"/>
    <n v="3"/>
    <n v="4"/>
    <n v="4"/>
    <n v="3"/>
    <n v="3"/>
    <n v="3.4"/>
    <s v="Нормольно"/>
    <n v="0"/>
    <s v="хуже"/>
  </r>
  <r>
    <n v="13084"/>
    <s v="Камилла Сапарова"/>
    <s v="27.02.1992"/>
    <x v="0"/>
    <x v="0"/>
    <n v="4"/>
    <n v="3"/>
    <n v="4"/>
    <n v="4"/>
    <n v="2"/>
    <n v="3.4"/>
    <s v="Нормольно"/>
    <n v="-2"/>
    <s v="хуже"/>
  </r>
  <r>
    <n v="13042"/>
    <s v="Қамар Айданақызы"/>
    <s v="29.09.2000"/>
    <x v="0"/>
    <x v="0"/>
    <n v="4"/>
    <n v="4"/>
    <n v="4"/>
    <n v="5"/>
    <n v="5"/>
    <n v="4.4000000000000004"/>
    <s v="Хорошо"/>
    <n v="1"/>
    <s v="лучше"/>
  </r>
  <r>
    <n v="13050"/>
    <s v="Лаура Абзалқызы"/>
    <s v="15.09.1989"/>
    <x v="0"/>
    <x v="0"/>
    <n v="1"/>
    <n v="3"/>
    <n v="5"/>
    <n v="4"/>
    <n v="4"/>
    <n v="3.4"/>
    <s v="Нормольно"/>
    <n v="3"/>
    <s v="лучше"/>
  </r>
  <r>
    <n v="13068"/>
    <s v="Мадина Әбілова"/>
    <s v="1.10.1990"/>
    <x v="1"/>
    <x v="0"/>
    <n v="4"/>
    <n v="2"/>
    <n v="3"/>
    <n v="3"/>
    <n v="3"/>
    <n v="3"/>
    <s v="Нормольно"/>
    <n v="-1"/>
    <s v="хуже"/>
  </r>
  <r>
    <n v="13054"/>
    <s v="Мадияр Оразбекұлы"/>
    <s v="03.08.1983"/>
    <x v="1"/>
    <x v="0"/>
    <n v="3"/>
    <n v="2"/>
    <n v="5"/>
    <n v="4"/>
    <n v="3"/>
    <n v="3.4"/>
    <s v="Нормольно"/>
    <n v="0"/>
    <s v="хуже"/>
  </r>
  <r>
    <n v="13079"/>
    <s v="Мейіржан Есенов"/>
    <s v="15.03.1985"/>
    <x v="1"/>
    <x v="0"/>
    <n v="4"/>
    <n v="4"/>
    <n v="2"/>
    <n v="3"/>
    <n v="5"/>
    <n v="3.6"/>
    <s v="Нормольно"/>
    <n v="1"/>
    <s v="лучше"/>
  </r>
  <r>
    <n v="13040"/>
    <s v="Мәдина Сәрікқызы"/>
    <s v="14.02.1994"/>
    <x v="0"/>
    <x v="0"/>
    <n v="3"/>
    <n v="3"/>
    <n v="3"/>
    <n v="4"/>
    <n v="2"/>
    <n v="3"/>
    <s v="Нормольно"/>
    <n v="-1"/>
    <s v="хуже"/>
  </r>
  <r>
    <n v="13049"/>
    <s v="Мәхмұт Алтынбекұлы"/>
    <s v="28.08.1976"/>
    <x v="1"/>
    <x v="1"/>
    <n v="5"/>
    <n v="5"/>
    <n v="2"/>
    <n v="3"/>
    <n v="5"/>
    <n v="4"/>
    <s v="Хорошо"/>
    <n v="0"/>
    <s v="хуже"/>
  </r>
  <r>
    <n v="13104"/>
    <s v="Мирас Болатулы"/>
    <d v="1990-02-03T00:00:00"/>
    <x v="1"/>
    <x v="1"/>
    <n v="3"/>
    <n v="5"/>
    <n v="5"/>
    <n v="4"/>
    <n v="2"/>
    <n v="3.8"/>
    <s v="Нормольно"/>
    <n v="-1"/>
    <s v="хуже"/>
  </r>
  <r>
    <n v="13114"/>
    <s v="Мирас Болатулы"/>
    <s v="28.04.2004"/>
    <x v="1"/>
    <x v="1"/>
    <n v="2"/>
    <n v="4"/>
    <n v="3"/>
    <n v="3"/>
    <n v="4"/>
    <n v="3.2"/>
    <s v="Нормольно"/>
    <n v="2"/>
    <s v="лучше"/>
  </r>
  <r>
    <n v="13089"/>
    <s v="Мирас Тілеубергенов"/>
    <s v="22.02.1995"/>
    <x v="0"/>
    <x v="0"/>
    <n v="5"/>
    <n v="3"/>
    <n v="2"/>
    <n v="5"/>
    <n v="2"/>
    <n v="3.4"/>
    <s v="Нормольно"/>
    <n v="-3"/>
    <s v="хуже"/>
  </r>
  <r>
    <n v="13092"/>
    <s v="Назерке Мұхамеджанова"/>
    <s v="27.04.1998"/>
    <x v="0"/>
    <x v="1"/>
    <n v="2"/>
    <n v="4"/>
    <n v="4"/>
    <n v="2"/>
    <n v="2"/>
    <n v="2.8"/>
    <s v="не очень"/>
    <n v="0"/>
    <s v="хуже"/>
  </r>
  <r>
    <n v="13106"/>
    <s v="Нурсултан Жумадилов"/>
    <d v="1985-07-14T00:00:00"/>
    <x v="1"/>
    <x v="1"/>
    <n v="5"/>
    <n v="3"/>
    <n v="2"/>
    <n v="5"/>
    <n v="5"/>
    <n v="4"/>
    <s v="Хорошо"/>
    <n v="0"/>
    <s v="хуже"/>
  </r>
  <r>
    <n v="13067"/>
    <s v="Нұрдәулет Ахметов"/>
    <s v="28.03.2000"/>
    <x v="0"/>
    <x v="1"/>
    <n v="3"/>
    <n v="5"/>
    <n v="2"/>
    <n v="5"/>
    <n v="5"/>
    <n v="4"/>
    <s v="Хорошо"/>
    <n v="2"/>
    <s v="лучше"/>
  </r>
  <r>
    <n v="13055"/>
    <s v="Нұржан Нұрсұлтанұлы"/>
    <s v="29.01.1987"/>
    <x v="1"/>
    <x v="1"/>
    <n v="4"/>
    <n v="4"/>
    <n v="5"/>
    <n v="2"/>
    <n v="4"/>
    <n v="3.8"/>
    <s v="Нормольно"/>
    <n v="0"/>
    <s v="хуже"/>
  </r>
  <r>
    <n v="13075"/>
    <s v="Нұрсұлтан Бекенов"/>
    <s v="13.09.2006"/>
    <x v="0"/>
    <x v="1"/>
    <n v="4"/>
    <n v="3"/>
    <n v="3"/>
    <n v="5"/>
    <n v="2"/>
    <n v="3.4"/>
    <s v="Нормольно"/>
    <n v="-2"/>
    <s v="хуже"/>
  </r>
  <r>
    <n v="13051"/>
    <s v="Орынбек Бағдатұлы"/>
    <s v="01.04.1982"/>
    <x v="1"/>
    <x v="1"/>
    <n v="4"/>
    <n v="4"/>
    <n v="4"/>
    <n v="5"/>
    <n v="4"/>
    <n v="4.2"/>
    <s v="Хорошо"/>
    <n v="0"/>
    <s v="хуже"/>
  </r>
  <r>
    <n v="13071"/>
    <s v="Руслан Омаров"/>
    <s v="3.10.1991"/>
    <x v="1"/>
    <x v="0"/>
    <n v="5"/>
    <n v="5"/>
    <n v="5"/>
    <n v="3"/>
    <n v="4"/>
    <n v="4.4000000000000004"/>
    <s v="Хорошо"/>
    <n v="-1"/>
    <s v="хуже"/>
  </r>
  <r>
    <n v="13086"/>
    <s v="Салтанат Оразбаева"/>
    <s v="16.09.1995"/>
    <x v="0"/>
    <x v="1"/>
    <n v="2"/>
    <n v="2"/>
    <n v="2"/>
    <n v="4"/>
    <n v="2"/>
    <n v="2.4"/>
    <s v="не очень"/>
    <n v="0"/>
    <s v="хуже"/>
  </r>
  <r>
    <n v="13093"/>
    <s v="Санжар Рахымов"/>
    <s v="30.09.2005"/>
    <x v="0"/>
    <x v="1"/>
    <n v="2"/>
    <n v="5"/>
    <n v="4"/>
    <n v="2"/>
    <n v="5"/>
    <n v="3.6"/>
    <s v="Нормольно"/>
    <n v="3"/>
    <s v="лучше"/>
  </r>
  <r>
    <n v="13062"/>
    <s v="Сауле Асқарқызы"/>
    <s v="19.03.1981"/>
    <x v="0"/>
    <x v="0"/>
    <n v="2"/>
    <n v="3"/>
    <n v="3"/>
    <n v="5"/>
    <n v="3"/>
    <n v="3.2"/>
    <s v="Нормольно"/>
    <n v="1"/>
    <s v="лучше"/>
  </r>
  <r>
    <n v="13039"/>
    <s v="Талгат Ержанұлы"/>
    <s v="02.05.1988"/>
    <x v="1"/>
    <x v="1"/>
    <n v="4"/>
    <n v="5"/>
    <n v="4"/>
    <n v="4"/>
    <n v="5"/>
    <n v="4.4000000000000004"/>
    <s v="Хорошо"/>
    <n v="1"/>
    <s v="лучше"/>
  </r>
  <r>
    <n v="13057"/>
    <s v="Темірлан Марленұлы"/>
    <s v="14.02.1977"/>
    <x v="1"/>
    <x v="1"/>
    <n v="5"/>
    <n v="3"/>
    <n v="2"/>
    <n v="5"/>
    <n v="3"/>
    <n v="3.6"/>
    <s v="Нормольно"/>
    <n v="-2"/>
    <s v="хуже"/>
  </r>
  <r>
    <n v="13043"/>
    <s v="Тимур Болатұлы"/>
    <s v="11.06.1979"/>
    <x v="1"/>
    <x v="1"/>
    <n v="3"/>
    <n v="3"/>
    <n v="2"/>
    <n v="4"/>
    <n v="3"/>
    <n v="3"/>
    <s v="Нормольно"/>
    <n v="0"/>
    <s v="хуже"/>
  </r>
  <r>
    <n v="13077"/>
    <s v="Тимур Жұмабеков"/>
    <s v="17.04.1996"/>
    <x v="0"/>
    <x v="0"/>
    <n v="4"/>
    <n v="2"/>
    <n v="2"/>
    <n v="5"/>
    <n v="2"/>
    <n v="3"/>
    <s v="Нормольно"/>
    <n v="-2"/>
    <s v="хуже"/>
  </r>
  <r>
    <n v="13048"/>
    <s v="Шолпан Жасұланқызы"/>
    <s v="13.11.1995"/>
    <x v="0"/>
    <x v="0"/>
    <n v="2"/>
    <n v="3"/>
    <n v="4"/>
    <n v="5"/>
    <n v="5"/>
    <n v="3.8"/>
    <s v="Нормольно"/>
    <n v="3"/>
    <s v="лучше"/>
  </r>
  <r>
    <n v="13045"/>
    <s v="Яссеркең Мейрамбекұлы"/>
    <s v="24.12.1998"/>
    <x v="1"/>
    <x v="1"/>
    <n v="5"/>
    <n v="4"/>
    <n v="5"/>
    <n v="3"/>
    <n v="3"/>
    <n v="4"/>
    <s v="Хорошо"/>
    <n v="-2"/>
    <s v="хуже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112EB-1814-4DD6-8B94-14DF7CE670C6}" name="Сводная таблица18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2:C15" firstHeaderRow="0" firstDataRow="1" firstDataCol="1"/>
  <pivotFields count="14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ID" fld="0" subtotal="count" baseField="3" baseItem="0"/>
    <dataField name="Сумма по полю ID" fld="0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9FFB4-0995-4AA9-8976-B9BE5A5E4FBD}" name="Сводная таблица17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>
  <location ref="A3:H8" firstHeaderRow="0" firstDataRow="1" firstDataCol="2"/>
  <pivotFields count="14"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2">
        <item x="1"/>
        <item x="0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3"/>
    <field x="4"/>
  </rowFields>
  <rowItems count="5">
    <i>
      <x/>
      <x/>
    </i>
    <i r="1">
      <x v="1"/>
    </i>
    <i>
      <x v="1"/>
      <x/>
    </i>
    <i r="1"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Количество по полю ID" fld="0" subtotal="count" baseField="0" baseItem="0"/>
    <dataField name="Среднее по полю Оценказа1неделю" fld="5" subtotal="average" baseField="4" baseItem="0" numFmtId="2"/>
    <dataField name="Среднее по полю Оценказа2неделю" fld="6" subtotal="average" baseField="4" baseItem="0" numFmtId="2"/>
    <dataField name="Среднее по полю Оценказа3неделю" fld="7" subtotal="average" baseField="4" baseItem="0" numFmtId="2"/>
    <dataField name="Среднее по полю Оценказа4неделю" fld="8" subtotal="average" baseField="4" baseItem="0" numFmtId="2"/>
    <dataField name="Среднее по полю средняя за 5 недели" fld="10" subtotal="average" baseField="4" baseItem="0" numFmtId="2"/>
  </dataFields>
  <formats count="4">
    <format dxfId="5">
      <pivotArea field="3" type="button" dataOnly="0" labelOnly="1" outline="0" axis="axisRow" fieldPosition="0"/>
    </format>
    <format dxfId="4">
      <pivotArea field="4" type="button" dataOnly="0" labelOnly="1" outline="0" axis="axisRow" fieldPosition="1"/>
    </format>
    <format dxfId="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">
      <pivotArea outline="0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9AA65-9E75-4517-823A-AED2AA41F872}" name="Таблица1" displayName="Таблица1" ref="B2:O147" totalsRowShown="0">
  <autoFilter ref="B2:O147" xr:uid="{FC99AA65-9E75-4517-823A-AED2AA41F872}"/>
  <tableColumns count="14">
    <tableColumn id="1" xr3:uid="{BA209A88-E5A8-46A8-94CB-C2E09462C1FC}" name="ID"/>
    <tableColumn id="18" xr3:uid="{7AA692B4-2D76-48B4-B8C0-82AB0AD08A15}" name="Студент" dataDxfId="1"/>
    <tableColumn id="3" xr3:uid="{129E325F-250A-4A60-B365-F965180C6DC7}" name="Датарождения"/>
    <tableColumn id="4" xr3:uid="{5A5B93B0-E66B-44B8-A16F-C758E060071A}" name="Пол"/>
    <tableColumn id="5" xr3:uid="{214B5FE4-F461-46AE-9BF6-7AD7219513DA}" name="Ранееобучался"/>
    <tableColumn id="6" xr3:uid="{F0AE2DFD-14B9-4EB1-AEB7-7F398FAF47EE}" name="Оценказа1неделю"/>
    <tableColumn id="7" xr3:uid="{1DAB4CD9-C5E8-4732-92F9-F2404162E45E}" name="Оценказа2неделю"/>
    <tableColumn id="8" xr3:uid="{89161297-09C4-447C-AA82-495E7644CAA1}" name="Оценказа3неделю"/>
    <tableColumn id="9" xr3:uid="{B1C69619-3593-4807-98CE-FAB226B05156}" name="Оценказа4неделю"/>
    <tableColumn id="10" xr3:uid="{16F25F36-FF18-4BA3-9732-9BDE19CC80C3}" name="Оценказа5неделю" dataDxfId="0"/>
    <tableColumn id="11" xr3:uid="{1D1B85AD-C15E-4C15-B44A-DC4123DB3897}" name="средняя за 5 недели"/>
    <tableColumn id="12" xr3:uid="{3E90510A-53A4-4392-900D-759B42C88AE7}" name="категория   "/>
    <tableColumn id="13" xr3:uid="{D831FA25-1150-441A-A067-4B4B5011ECB0}" name="разница между 5 и 1 неделей   "/>
    <tableColumn id="14" xr3:uid="{F5E00449-9F0F-4365-A6F7-FC07CBBB6AA4}" name="успеваемость стала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C612-C79C-44D5-9052-D8F681F17E38}">
  <dimension ref="A3:H15"/>
  <sheetViews>
    <sheetView topLeftCell="A4" workbookViewId="0">
      <selection activeCell="D17" sqref="D17"/>
    </sheetView>
  </sheetViews>
  <sheetFormatPr defaultRowHeight="14.4" x14ac:dyDescent="0.3"/>
  <cols>
    <col min="1" max="1" width="17" bestFit="1" customWidth="1"/>
    <col min="2" max="2" width="21.5546875" bestFit="1" customWidth="1"/>
    <col min="3" max="3" width="17.33203125" bestFit="1" customWidth="1"/>
    <col min="4" max="8" width="19.44140625" customWidth="1"/>
  </cols>
  <sheetData>
    <row r="3" spans="1:8" s="19" customFormat="1" ht="28.8" x14ac:dyDescent="0.3">
      <c r="A3" s="18" t="s">
        <v>3</v>
      </c>
      <c r="B3" s="18" t="s">
        <v>4</v>
      </c>
      <c r="C3" s="19" t="s">
        <v>358</v>
      </c>
      <c r="D3" s="19" t="s">
        <v>359</v>
      </c>
      <c r="E3" s="19" t="s">
        <v>360</v>
      </c>
      <c r="F3" s="19" t="s">
        <v>361</v>
      </c>
      <c r="G3" s="19" t="s">
        <v>362</v>
      </c>
      <c r="H3" s="19" t="s">
        <v>363</v>
      </c>
    </row>
    <row r="4" spans="1:8" x14ac:dyDescent="0.3">
      <c r="A4" t="s">
        <v>16</v>
      </c>
      <c r="B4" t="s">
        <v>17</v>
      </c>
      <c r="C4">
        <v>30</v>
      </c>
      <c r="D4" s="14">
        <v>3.4333333333333331</v>
      </c>
      <c r="E4" s="14">
        <v>3.5</v>
      </c>
      <c r="F4" s="14">
        <v>3.6</v>
      </c>
      <c r="G4" s="14">
        <v>3.9</v>
      </c>
      <c r="H4" s="14">
        <v>3.5666666666666655</v>
      </c>
    </row>
    <row r="5" spans="1:8" x14ac:dyDescent="0.3">
      <c r="B5" t="s">
        <v>22</v>
      </c>
      <c r="C5">
        <v>43</v>
      </c>
      <c r="D5" s="14">
        <v>3.441860465116279</v>
      </c>
      <c r="E5" s="14">
        <v>3.4186046511627906</v>
      </c>
      <c r="F5" s="14">
        <v>3.3720930232558142</v>
      </c>
      <c r="G5" s="14">
        <v>3.9767441860465116</v>
      </c>
      <c r="H5" s="14">
        <v>3.5302325581395353</v>
      </c>
    </row>
    <row r="6" spans="1:8" x14ac:dyDescent="0.3">
      <c r="A6" t="s">
        <v>21</v>
      </c>
      <c r="B6" t="s">
        <v>17</v>
      </c>
      <c r="C6">
        <v>45</v>
      </c>
      <c r="D6" s="14">
        <v>3.6444444444444444</v>
      </c>
      <c r="E6" s="14">
        <v>3.6666666666666665</v>
      </c>
      <c r="F6" s="14">
        <v>3.7555555555555555</v>
      </c>
      <c r="G6" s="14">
        <v>3.5333333333333332</v>
      </c>
      <c r="H6" s="14">
        <v>3.6533333333333329</v>
      </c>
    </row>
    <row r="7" spans="1:8" x14ac:dyDescent="0.3">
      <c r="B7" t="s">
        <v>22</v>
      </c>
      <c r="C7">
        <v>27</v>
      </c>
      <c r="D7" s="14">
        <v>3.8148148148148149</v>
      </c>
      <c r="E7" s="14">
        <v>3.5185185185185186</v>
      </c>
      <c r="F7" s="14">
        <v>3.6296296296296298</v>
      </c>
      <c r="G7" s="14">
        <v>3.5555555555555554</v>
      </c>
      <c r="H7" s="14">
        <v>3.6370370370370377</v>
      </c>
    </row>
    <row r="8" spans="1:8" x14ac:dyDescent="0.3">
      <c r="A8" t="s">
        <v>356</v>
      </c>
      <c r="C8">
        <v>145</v>
      </c>
      <c r="D8" s="14">
        <v>3.5724137931034483</v>
      </c>
      <c r="E8" s="14">
        <v>3.5310344827586206</v>
      </c>
      <c r="F8" s="14">
        <v>3.5862068965517242</v>
      </c>
      <c r="G8" s="14">
        <v>3.7448275862068967</v>
      </c>
      <c r="H8" s="14">
        <v>3.5958620689655172</v>
      </c>
    </row>
    <row r="12" spans="1:8" x14ac:dyDescent="0.3">
      <c r="A12" s="16" t="s">
        <v>355</v>
      </c>
      <c r="B12" t="s">
        <v>358</v>
      </c>
      <c r="C12" t="s">
        <v>354</v>
      </c>
    </row>
    <row r="13" spans="1:8" x14ac:dyDescent="0.3">
      <c r="A13" s="17" t="s">
        <v>16</v>
      </c>
      <c r="B13">
        <v>73</v>
      </c>
      <c r="C13" s="20">
        <v>0.50343664325163184</v>
      </c>
    </row>
    <row r="14" spans="1:8" x14ac:dyDescent="0.3">
      <c r="A14" s="17" t="s">
        <v>21</v>
      </c>
      <c r="B14">
        <v>72</v>
      </c>
      <c r="C14" s="20">
        <v>0.49656335674836816</v>
      </c>
    </row>
    <row r="15" spans="1:8" x14ac:dyDescent="0.3">
      <c r="A15" s="17" t="s">
        <v>356</v>
      </c>
      <c r="B15">
        <v>145</v>
      </c>
      <c r="C15" s="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FDC9-F53F-41CB-B517-C04B875F4253}">
  <dimension ref="A2:T152"/>
  <sheetViews>
    <sheetView tabSelected="1" zoomScale="80" zoomScaleNormal="80" workbookViewId="0">
      <selection activeCell="C5" sqref="C5"/>
    </sheetView>
  </sheetViews>
  <sheetFormatPr defaultRowHeight="14.4" x14ac:dyDescent="0.3"/>
  <cols>
    <col min="2" max="2" width="6" bestFit="1" customWidth="1"/>
    <col min="3" max="3" width="23.44140625" customWidth="1"/>
    <col min="4" max="4" width="16.44140625" customWidth="1"/>
    <col min="5" max="5" width="6.44140625" customWidth="1"/>
    <col min="6" max="6" width="16.44140625" customWidth="1"/>
    <col min="7" max="11" width="19.5546875" customWidth="1"/>
    <col min="12" max="12" width="18.77734375" customWidth="1"/>
    <col min="13" max="13" width="12" customWidth="1"/>
    <col min="14" max="14" width="27.109375" customWidth="1"/>
    <col min="15" max="15" width="19.77734375" customWidth="1"/>
  </cols>
  <sheetData>
    <row r="2" spans="1:20" x14ac:dyDescent="0.3">
      <c r="A2" s="1"/>
      <c r="B2" s="2" t="s">
        <v>0</v>
      </c>
      <c r="C2" s="2" t="s">
        <v>357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3" t="s">
        <v>10</v>
      </c>
      <c r="M2" s="3" t="s">
        <v>11</v>
      </c>
      <c r="N2" s="4" t="s">
        <v>12</v>
      </c>
      <c r="O2" s="5" t="s">
        <v>13</v>
      </c>
      <c r="S2" s="3" t="s">
        <v>11</v>
      </c>
    </row>
    <row r="3" spans="1:20" x14ac:dyDescent="0.3">
      <c r="A3" s="6"/>
      <c r="B3" s="6">
        <v>12991</v>
      </c>
      <c r="C3" s="6" t="s">
        <v>297</v>
      </c>
      <c r="D3" s="6" t="s">
        <v>58</v>
      </c>
      <c r="E3" s="6" t="s">
        <v>16</v>
      </c>
      <c r="F3" s="6" t="s">
        <v>22</v>
      </c>
      <c r="G3" s="6">
        <v>4</v>
      </c>
      <c r="H3" s="6">
        <v>4</v>
      </c>
      <c r="I3" s="6">
        <v>4</v>
      </c>
      <c r="J3" s="6">
        <v>4</v>
      </c>
      <c r="K3" s="6">
        <v>5</v>
      </c>
      <c r="L3">
        <v>4.2</v>
      </c>
      <c r="M3" t="s">
        <v>26</v>
      </c>
      <c r="N3">
        <v>1</v>
      </c>
      <c r="O3" t="s">
        <v>172</v>
      </c>
      <c r="S3">
        <v>2</v>
      </c>
      <c r="T3" t="s">
        <v>18</v>
      </c>
    </row>
    <row r="4" spans="1:20" x14ac:dyDescent="0.3">
      <c r="A4" s="6"/>
      <c r="B4" s="6">
        <v>13014</v>
      </c>
      <c r="C4" s="6" t="s">
        <v>298</v>
      </c>
      <c r="D4" s="6" t="s">
        <v>202</v>
      </c>
      <c r="E4" s="6" t="s">
        <v>16</v>
      </c>
      <c r="F4" s="6" t="s">
        <v>22</v>
      </c>
      <c r="G4" s="6">
        <v>3</v>
      </c>
      <c r="H4" s="6">
        <v>2</v>
      </c>
      <c r="I4" s="6">
        <v>5</v>
      </c>
      <c r="J4" s="6">
        <v>5</v>
      </c>
      <c r="K4" s="6">
        <v>4</v>
      </c>
      <c r="L4">
        <v>3.8</v>
      </c>
      <c r="M4" t="s">
        <v>23</v>
      </c>
      <c r="N4">
        <v>1</v>
      </c>
      <c r="O4" t="s">
        <v>172</v>
      </c>
      <c r="S4">
        <v>3</v>
      </c>
      <c r="T4" t="s">
        <v>23</v>
      </c>
    </row>
    <row r="5" spans="1:20" x14ac:dyDescent="0.3">
      <c r="A5" s="6"/>
      <c r="B5" s="6">
        <v>13002</v>
      </c>
      <c r="C5" s="6" t="s">
        <v>299</v>
      </c>
      <c r="D5" s="6" t="s">
        <v>178</v>
      </c>
      <c r="E5" s="6" t="s">
        <v>16</v>
      </c>
      <c r="F5" s="6" t="s">
        <v>22</v>
      </c>
      <c r="G5" s="6">
        <v>4</v>
      </c>
      <c r="H5" s="6">
        <v>3</v>
      </c>
      <c r="I5" s="6">
        <v>4</v>
      </c>
      <c r="J5" s="6">
        <v>4</v>
      </c>
      <c r="K5" s="6">
        <v>3</v>
      </c>
      <c r="L5">
        <v>3.6</v>
      </c>
      <c r="M5" t="s">
        <v>23</v>
      </c>
      <c r="N5">
        <v>-1</v>
      </c>
      <c r="O5" t="s">
        <v>171</v>
      </c>
      <c r="S5">
        <v>4</v>
      </c>
      <c r="T5" t="s">
        <v>26</v>
      </c>
    </row>
    <row r="6" spans="1:20" x14ac:dyDescent="0.3">
      <c r="A6" s="6"/>
      <c r="B6" s="6">
        <v>13003</v>
      </c>
      <c r="C6" s="6" t="s">
        <v>300</v>
      </c>
      <c r="D6" s="6" t="s">
        <v>180</v>
      </c>
      <c r="E6" s="6" t="s">
        <v>16</v>
      </c>
      <c r="F6" s="6" t="s">
        <v>17</v>
      </c>
      <c r="G6" s="6">
        <v>3</v>
      </c>
      <c r="H6" s="6">
        <v>4</v>
      </c>
      <c r="I6" s="6">
        <v>3</v>
      </c>
      <c r="J6" s="6">
        <v>2</v>
      </c>
      <c r="K6" s="6">
        <v>5</v>
      </c>
      <c r="L6">
        <v>3.4</v>
      </c>
      <c r="M6" t="s">
        <v>23</v>
      </c>
      <c r="N6">
        <v>2</v>
      </c>
      <c r="O6" t="s">
        <v>172</v>
      </c>
      <c r="S6">
        <v>5</v>
      </c>
      <c r="T6" t="s">
        <v>29</v>
      </c>
    </row>
    <row r="7" spans="1:20" x14ac:dyDescent="0.3">
      <c r="A7" s="6"/>
      <c r="B7" s="6">
        <v>12987</v>
      </c>
      <c r="C7" s="6" t="s">
        <v>301</v>
      </c>
      <c r="D7" s="6" t="s">
        <v>35</v>
      </c>
      <c r="E7" s="6" t="s">
        <v>16</v>
      </c>
      <c r="F7" s="6" t="s">
        <v>22</v>
      </c>
      <c r="G7" s="6">
        <v>4</v>
      </c>
      <c r="H7" s="6">
        <v>5</v>
      </c>
      <c r="I7" s="6">
        <v>2</v>
      </c>
      <c r="J7" s="6">
        <v>2</v>
      </c>
      <c r="K7" s="6">
        <v>3</v>
      </c>
      <c r="L7">
        <v>3.2</v>
      </c>
      <c r="M7" t="s">
        <v>23</v>
      </c>
      <c r="N7">
        <v>-1</v>
      </c>
      <c r="O7" t="s">
        <v>171</v>
      </c>
    </row>
    <row r="8" spans="1:20" x14ac:dyDescent="0.3">
      <c r="A8" s="6"/>
      <c r="B8" s="6">
        <v>12977</v>
      </c>
      <c r="C8" s="6" t="s">
        <v>301</v>
      </c>
      <c r="D8" s="6" t="s">
        <v>35</v>
      </c>
      <c r="E8" s="6" t="s">
        <v>16</v>
      </c>
      <c r="F8" s="6" t="s">
        <v>22</v>
      </c>
      <c r="G8" s="6">
        <v>2</v>
      </c>
      <c r="H8" s="6">
        <v>3</v>
      </c>
      <c r="I8" s="6">
        <v>3</v>
      </c>
      <c r="J8" s="6">
        <v>5</v>
      </c>
      <c r="K8" s="6">
        <v>2</v>
      </c>
      <c r="L8">
        <v>3</v>
      </c>
      <c r="M8" t="s">
        <v>23</v>
      </c>
      <c r="N8">
        <v>0</v>
      </c>
      <c r="O8" t="s">
        <v>171</v>
      </c>
    </row>
    <row r="9" spans="1:20" x14ac:dyDescent="0.3">
      <c r="A9" s="6"/>
      <c r="B9" s="6">
        <v>13023</v>
      </c>
      <c r="C9" s="6" t="s">
        <v>302</v>
      </c>
      <c r="D9" s="6" t="s">
        <v>80</v>
      </c>
      <c r="E9" s="6" t="s">
        <v>16</v>
      </c>
      <c r="F9" s="6" t="s">
        <v>17</v>
      </c>
      <c r="G9" s="6">
        <v>5</v>
      </c>
      <c r="H9" s="6">
        <v>5</v>
      </c>
      <c r="I9" s="6">
        <v>5</v>
      </c>
      <c r="J9" s="6">
        <v>5</v>
      </c>
      <c r="K9" s="6">
        <v>4</v>
      </c>
      <c r="L9">
        <v>4.8</v>
      </c>
      <c r="M9" t="s">
        <v>26</v>
      </c>
      <c r="N9">
        <v>-1</v>
      </c>
      <c r="O9" t="s">
        <v>171</v>
      </c>
    </row>
    <row r="10" spans="1:20" x14ac:dyDescent="0.3">
      <c r="A10" s="6"/>
      <c r="B10" s="6">
        <v>12979</v>
      </c>
      <c r="C10" s="6" t="s">
        <v>303</v>
      </c>
      <c r="D10" s="6" t="s">
        <v>39</v>
      </c>
      <c r="E10" s="6" t="s">
        <v>16</v>
      </c>
      <c r="F10" s="6" t="s">
        <v>22</v>
      </c>
      <c r="G10" s="6">
        <v>4</v>
      </c>
      <c r="H10" s="6">
        <v>5</v>
      </c>
      <c r="I10" s="6">
        <v>4</v>
      </c>
      <c r="J10" s="6">
        <v>3</v>
      </c>
      <c r="K10" s="6">
        <v>3</v>
      </c>
      <c r="L10">
        <v>3.8</v>
      </c>
      <c r="M10" t="s">
        <v>23</v>
      </c>
      <c r="N10">
        <v>-1</v>
      </c>
      <c r="O10" t="s">
        <v>171</v>
      </c>
    </row>
    <row r="11" spans="1:20" x14ac:dyDescent="0.3">
      <c r="A11" s="6"/>
      <c r="B11" s="6">
        <v>12994</v>
      </c>
      <c r="C11" s="6" t="s">
        <v>304</v>
      </c>
      <c r="D11" s="6" t="s">
        <v>64</v>
      </c>
      <c r="E11" s="6" t="s">
        <v>16</v>
      </c>
      <c r="F11" s="6" t="s">
        <v>22</v>
      </c>
      <c r="G11" s="6">
        <v>3</v>
      </c>
      <c r="H11" s="6">
        <v>2</v>
      </c>
      <c r="I11" s="6">
        <v>3</v>
      </c>
      <c r="J11" s="6">
        <v>4</v>
      </c>
      <c r="K11" s="6">
        <v>3</v>
      </c>
      <c r="L11">
        <v>3</v>
      </c>
      <c r="M11" t="s">
        <v>23</v>
      </c>
      <c r="N11">
        <v>0</v>
      </c>
      <c r="O11" t="s">
        <v>171</v>
      </c>
    </row>
    <row r="12" spans="1:20" x14ac:dyDescent="0.3">
      <c r="A12" s="6"/>
      <c r="B12" s="6">
        <v>13017</v>
      </c>
      <c r="C12" s="6" t="s">
        <v>305</v>
      </c>
      <c r="D12" s="6" t="s">
        <v>208</v>
      </c>
      <c r="E12" s="6" t="s">
        <v>16</v>
      </c>
      <c r="F12" s="6" t="s">
        <v>17</v>
      </c>
      <c r="G12" s="6">
        <v>5</v>
      </c>
      <c r="H12" s="6">
        <v>3</v>
      </c>
      <c r="I12" s="6">
        <v>4</v>
      </c>
      <c r="J12" s="6">
        <v>3</v>
      </c>
      <c r="K12" s="6">
        <v>3</v>
      </c>
      <c r="L12">
        <v>3.6</v>
      </c>
      <c r="M12" t="s">
        <v>23</v>
      </c>
      <c r="N12">
        <v>-2</v>
      </c>
      <c r="O12" t="s">
        <v>171</v>
      </c>
    </row>
    <row r="13" spans="1:20" x14ac:dyDescent="0.3">
      <c r="A13" s="6"/>
      <c r="B13" s="6">
        <v>13000</v>
      </c>
      <c r="C13" s="6" t="s">
        <v>306</v>
      </c>
      <c r="D13" s="6" t="s">
        <v>174</v>
      </c>
      <c r="E13" s="6" t="s">
        <v>16</v>
      </c>
      <c r="F13" s="6" t="s">
        <v>22</v>
      </c>
      <c r="G13" s="6">
        <v>4</v>
      </c>
      <c r="H13" s="6">
        <v>4</v>
      </c>
      <c r="I13" s="6">
        <v>2</v>
      </c>
      <c r="J13" s="6">
        <v>4</v>
      </c>
      <c r="K13" s="6">
        <v>3</v>
      </c>
      <c r="L13">
        <v>3.4</v>
      </c>
      <c r="M13" t="s">
        <v>23</v>
      </c>
      <c r="N13">
        <v>-1</v>
      </c>
      <c r="O13" t="s">
        <v>171</v>
      </c>
    </row>
    <row r="14" spans="1:20" x14ac:dyDescent="0.3">
      <c r="A14" s="6"/>
      <c r="B14" s="6">
        <v>13032</v>
      </c>
      <c r="C14" s="6" t="s">
        <v>307</v>
      </c>
      <c r="D14" s="6" t="s">
        <v>98</v>
      </c>
      <c r="E14" s="6" t="s">
        <v>21</v>
      </c>
      <c r="F14" s="6" t="s">
        <v>22</v>
      </c>
      <c r="G14" s="6">
        <v>3</v>
      </c>
      <c r="H14" s="6">
        <v>4</v>
      </c>
      <c r="I14" s="6">
        <v>4</v>
      </c>
      <c r="J14" s="6">
        <v>5</v>
      </c>
      <c r="K14" s="6">
        <v>5</v>
      </c>
      <c r="L14">
        <v>4.2</v>
      </c>
      <c r="M14" t="s">
        <v>26</v>
      </c>
      <c r="N14">
        <v>2</v>
      </c>
      <c r="O14" t="s">
        <v>172</v>
      </c>
    </row>
    <row r="15" spans="1:20" x14ac:dyDescent="0.3">
      <c r="A15" s="6"/>
      <c r="B15" s="6">
        <v>12998</v>
      </c>
      <c r="C15" s="6" t="s">
        <v>308</v>
      </c>
      <c r="D15" s="6" t="s">
        <v>72</v>
      </c>
      <c r="E15" s="6" t="s">
        <v>16</v>
      </c>
      <c r="F15" s="6" t="s">
        <v>22</v>
      </c>
      <c r="G15" s="6">
        <v>4</v>
      </c>
      <c r="H15" s="6">
        <v>5</v>
      </c>
      <c r="I15" s="6">
        <v>3</v>
      </c>
      <c r="J15" s="6">
        <v>3</v>
      </c>
      <c r="K15" s="6">
        <v>3</v>
      </c>
      <c r="L15">
        <v>3.6</v>
      </c>
      <c r="M15" t="s">
        <v>23</v>
      </c>
      <c r="N15">
        <v>-1</v>
      </c>
      <c r="O15" t="s">
        <v>171</v>
      </c>
    </row>
    <row r="16" spans="1:20" x14ac:dyDescent="0.3">
      <c r="A16" s="6"/>
      <c r="B16" s="6">
        <v>12971</v>
      </c>
      <c r="C16" s="6" t="s">
        <v>309</v>
      </c>
      <c r="D16" s="6" t="s">
        <v>15</v>
      </c>
      <c r="E16" s="6" t="s">
        <v>16</v>
      </c>
      <c r="F16" s="6" t="s">
        <v>17</v>
      </c>
      <c r="G16" s="6">
        <v>3</v>
      </c>
      <c r="H16" s="6">
        <v>4</v>
      </c>
      <c r="I16" s="6">
        <v>3</v>
      </c>
      <c r="J16" s="6">
        <v>5</v>
      </c>
      <c r="K16" s="6">
        <v>2</v>
      </c>
      <c r="L16">
        <v>3.4</v>
      </c>
      <c r="M16" t="s">
        <v>23</v>
      </c>
      <c r="N16">
        <v>-1</v>
      </c>
      <c r="O16" t="s">
        <v>171</v>
      </c>
    </row>
    <row r="17" spans="1:15" x14ac:dyDescent="0.3">
      <c r="A17" s="6"/>
      <c r="B17" s="6">
        <v>13001</v>
      </c>
      <c r="C17" s="6" t="s">
        <v>310</v>
      </c>
      <c r="D17" s="6" t="s">
        <v>176</v>
      </c>
      <c r="E17" s="6" t="s">
        <v>21</v>
      </c>
      <c r="F17" s="6" t="s">
        <v>17</v>
      </c>
      <c r="G17" s="6">
        <v>2</v>
      </c>
      <c r="H17" s="6">
        <v>2</v>
      </c>
      <c r="I17" s="6">
        <v>3</v>
      </c>
      <c r="J17" s="6">
        <v>5</v>
      </c>
      <c r="K17" s="6">
        <v>4</v>
      </c>
      <c r="L17">
        <v>3.2</v>
      </c>
      <c r="M17" t="s">
        <v>23</v>
      </c>
      <c r="N17">
        <v>2</v>
      </c>
      <c r="O17" t="s">
        <v>172</v>
      </c>
    </row>
    <row r="18" spans="1:15" x14ac:dyDescent="0.3">
      <c r="A18" s="6"/>
      <c r="B18" s="6">
        <v>12986</v>
      </c>
      <c r="C18" s="6" t="s">
        <v>311</v>
      </c>
      <c r="D18" s="6" t="s">
        <v>33</v>
      </c>
      <c r="E18" s="6" t="s">
        <v>21</v>
      </c>
      <c r="F18" s="6" t="s">
        <v>17</v>
      </c>
      <c r="G18" s="6">
        <v>4</v>
      </c>
      <c r="H18" s="6">
        <v>4</v>
      </c>
      <c r="I18" s="6">
        <v>5</v>
      </c>
      <c r="J18" s="6">
        <v>3</v>
      </c>
      <c r="K18" s="6">
        <v>2</v>
      </c>
      <c r="L18">
        <v>3.6</v>
      </c>
      <c r="M18" t="s">
        <v>23</v>
      </c>
      <c r="N18">
        <v>-2</v>
      </c>
      <c r="O18" t="s">
        <v>171</v>
      </c>
    </row>
    <row r="19" spans="1:15" x14ac:dyDescent="0.3">
      <c r="A19" s="6"/>
      <c r="B19" s="6">
        <v>12976</v>
      </c>
      <c r="C19" s="6" t="s">
        <v>311</v>
      </c>
      <c r="D19" s="6" t="s">
        <v>33</v>
      </c>
      <c r="E19" s="6" t="s">
        <v>21</v>
      </c>
      <c r="F19" s="6" t="s">
        <v>17</v>
      </c>
      <c r="G19" s="6">
        <v>4</v>
      </c>
      <c r="H19" s="6">
        <v>4</v>
      </c>
      <c r="I19" s="6">
        <v>5</v>
      </c>
      <c r="J19" s="6">
        <v>3</v>
      </c>
      <c r="K19" s="6">
        <v>3</v>
      </c>
      <c r="L19">
        <v>3.8</v>
      </c>
      <c r="M19" t="s">
        <v>23</v>
      </c>
      <c r="N19">
        <v>-1</v>
      </c>
      <c r="O19" t="s">
        <v>171</v>
      </c>
    </row>
    <row r="20" spans="1:15" x14ac:dyDescent="0.3">
      <c r="A20" s="6"/>
      <c r="B20" s="6">
        <v>13004</v>
      </c>
      <c r="C20" s="6" t="s">
        <v>312</v>
      </c>
      <c r="D20" s="6" t="s">
        <v>182</v>
      </c>
      <c r="E20" s="6" t="s">
        <v>21</v>
      </c>
      <c r="F20" s="6" t="s">
        <v>22</v>
      </c>
      <c r="G20" s="6">
        <v>4</v>
      </c>
      <c r="H20" s="6">
        <v>5</v>
      </c>
      <c r="I20" s="6">
        <v>3</v>
      </c>
      <c r="J20" s="6">
        <v>4</v>
      </c>
      <c r="K20" s="6">
        <v>4</v>
      </c>
      <c r="L20">
        <v>4</v>
      </c>
      <c r="M20" t="s">
        <v>26</v>
      </c>
      <c r="N20">
        <v>0</v>
      </c>
      <c r="O20" t="s">
        <v>171</v>
      </c>
    </row>
    <row r="21" spans="1:15" x14ac:dyDescent="0.3">
      <c r="A21" s="6"/>
      <c r="B21" s="6">
        <v>13020</v>
      </c>
      <c r="C21" s="6" t="s">
        <v>313</v>
      </c>
      <c r="D21" s="6" t="s">
        <v>214</v>
      </c>
      <c r="E21" s="6" t="s">
        <v>21</v>
      </c>
      <c r="F21" s="6" t="s">
        <v>22</v>
      </c>
      <c r="G21" s="6">
        <v>5</v>
      </c>
      <c r="H21" s="6">
        <v>4</v>
      </c>
      <c r="I21" s="6">
        <v>4</v>
      </c>
      <c r="J21" s="6">
        <v>4</v>
      </c>
      <c r="K21" s="6">
        <v>2</v>
      </c>
      <c r="L21">
        <v>3.8</v>
      </c>
      <c r="M21" t="s">
        <v>23</v>
      </c>
      <c r="N21">
        <v>-3</v>
      </c>
      <c r="O21" t="s">
        <v>171</v>
      </c>
    </row>
    <row r="22" spans="1:15" x14ac:dyDescent="0.3">
      <c r="A22" s="6"/>
      <c r="B22" s="6">
        <v>12989</v>
      </c>
      <c r="C22" s="6" t="s">
        <v>314</v>
      </c>
      <c r="D22" s="6" t="s">
        <v>54</v>
      </c>
      <c r="E22" s="6" t="s">
        <v>16</v>
      </c>
      <c r="F22" s="6" t="s">
        <v>22</v>
      </c>
      <c r="G22" s="6">
        <v>5</v>
      </c>
      <c r="H22" s="6">
        <v>4</v>
      </c>
      <c r="I22" s="6">
        <v>5</v>
      </c>
      <c r="J22" s="6">
        <v>5</v>
      </c>
      <c r="K22" s="6">
        <v>3</v>
      </c>
      <c r="L22">
        <v>4.4000000000000004</v>
      </c>
      <c r="M22" t="s">
        <v>26</v>
      </c>
      <c r="N22">
        <v>-2</v>
      </c>
      <c r="O22" t="s">
        <v>171</v>
      </c>
    </row>
    <row r="23" spans="1:15" x14ac:dyDescent="0.3">
      <c r="A23" s="6"/>
      <c r="B23" s="6">
        <v>13027</v>
      </c>
      <c r="C23" s="6" t="s">
        <v>315</v>
      </c>
      <c r="D23" s="6" t="s">
        <v>88</v>
      </c>
      <c r="E23" s="6" t="s">
        <v>16</v>
      </c>
      <c r="F23" s="6" t="s">
        <v>17</v>
      </c>
      <c r="G23" s="6">
        <v>5</v>
      </c>
      <c r="H23" s="6">
        <v>5</v>
      </c>
      <c r="I23" s="6">
        <v>5</v>
      </c>
      <c r="J23" s="6">
        <v>3</v>
      </c>
      <c r="K23" s="6">
        <v>3</v>
      </c>
      <c r="L23">
        <v>4.2</v>
      </c>
      <c r="M23" t="s">
        <v>26</v>
      </c>
      <c r="N23">
        <v>-2</v>
      </c>
      <c r="O23" t="s">
        <v>171</v>
      </c>
    </row>
    <row r="24" spans="1:15" x14ac:dyDescent="0.3">
      <c r="A24" s="6"/>
      <c r="B24" s="6">
        <v>13005</v>
      </c>
      <c r="C24" s="6" t="s">
        <v>316</v>
      </c>
      <c r="D24" s="6" t="s">
        <v>184</v>
      </c>
      <c r="E24" s="6" t="s">
        <v>16</v>
      </c>
      <c r="F24" s="6" t="s">
        <v>17</v>
      </c>
      <c r="G24" s="6">
        <v>5</v>
      </c>
      <c r="H24" s="6">
        <v>4</v>
      </c>
      <c r="I24" s="6">
        <v>4</v>
      </c>
      <c r="J24" s="6">
        <v>5</v>
      </c>
      <c r="K24" s="6">
        <v>4</v>
      </c>
      <c r="L24">
        <v>4.4000000000000004</v>
      </c>
      <c r="M24" t="s">
        <v>26</v>
      </c>
      <c r="N24">
        <v>-1</v>
      </c>
      <c r="O24" t="s">
        <v>171</v>
      </c>
    </row>
    <row r="25" spans="1:15" x14ac:dyDescent="0.3">
      <c r="A25" s="6"/>
      <c r="B25" s="6">
        <v>13007</v>
      </c>
      <c r="C25" s="6" t="s">
        <v>317</v>
      </c>
      <c r="D25" s="6" t="s">
        <v>188</v>
      </c>
      <c r="E25" s="6" t="s">
        <v>16</v>
      </c>
      <c r="F25" s="6" t="s">
        <v>17</v>
      </c>
      <c r="G25" s="6">
        <v>3</v>
      </c>
      <c r="H25" s="6">
        <v>5</v>
      </c>
      <c r="I25" s="6">
        <v>5</v>
      </c>
      <c r="J25" s="6">
        <v>5</v>
      </c>
      <c r="K25" s="6">
        <v>4</v>
      </c>
      <c r="L25">
        <v>4.4000000000000004</v>
      </c>
      <c r="M25" t="s">
        <v>26</v>
      </c>
      <c r="N25">
        <v>1</v>
      </c>
      <c r="O25" t="s">
        <v>172</v>
      </c>
    </row>
    <row r="26" spans="1:15" x14ac:dyDescent="0.3">
      <c r="A26" s="6"/>
      <c r="B26" s="6">
        <v>12983</v>
      </c>
      <c r="C26" s="6" t="s">
        <v>318</v>
      </c>
      <c r="D26" s="6" t="s">
        <v>25</v>
      </c>
      <c r="E26" s="6" t="s">
        <v>16</v>
      </c>
      <c r="F26" s="6" t="s">
        <v>17</v>
      </c>
      <c r="G26" s="6">
        <v>5</v>
      </c>
      <c r="H26" s="6">
        <v>3</v>
      </c>
      <c r="I26" s="6">
        <v>3</v>
      </c>
      <c r="J26" s="6">
        <v>4</v>
      </c>
      <c r="K26" s="6">
        <v>4</v>
      </c>
      <c r="L26">
        <v>3.8</v>
      </c>
      <c r="M26" t="s">
        <v>23</v>
      </c>
      <c r="N26">
        <v>-1</v>
      </c>
      <c r="O26" t="s">
        <v>171</v>
      </c>
    </row>
    <row r="27" spans="1:15" x14ac:dyDescent="0.3">
      <c r="A27" s="6"/>
      <c r="B27" s="6">
        <v>12973</v>
      </c>
      <c r="C27" s="6" t="s">
        <v>318</v>
      </c>
      <c r="D27" s="6" t="s">
        <v>25</v>
      </c>
      <c r="E27" s="6" t="s">
        <v>16</v>
      </c>
      <c r="F27" s="6" t="s">
        <v>17</v>
      </c>
      <c r="G27" s="6">
        <v>5</v>
      </c>
      <c r="H27" s="6">
        <v>3</v>
      </c>
      <c r="I27" s="6">
        <v>3</v>
      </c>
      <c r="J27" s="6">
        <v>4</v>
      </c>
      <c r="K27" s="6">
        <v>4</v>
      </c>
      <c r="L27">
        <v>3.8</v>
      </c>
      <c r="M27" t="s">
        <v>23</v>
      </c>
      <c r="N27">
        <v>-1</v>
      </c>
      <c r="O27" t="s">
        <v>171</v>
      </c>
    </row>
    <row r="28" spans="1:15" x14ac:dyDescent="0.3">
      <c r="A28" s="6"/>
      <c r="B28" s="6">
        <v>12982</v>
      </c>
      <c r="C28" s="6" t="s">
        <v>319</v>
      </c>
      <c r="D28" s="6" t="s">
        <v>45</v>
      </c>
      <c r="E28" s="6" t="s">
        <v>21</v>
      </c>
      <c r="F28" s="6" t="s">
        <v>17</v>
      </c>
      <c r="G28" s="6">
        <v>4</v>
      </c>
      <c r="H28" s="6">
        <v>5</v>
      </c>
      <c r="I28" s="6">
        <v>2</v>
      </c>
      <c r="J28" s="6">
        <v>4</v>
      </c>
      <c r="K28" s="6">
        <v>5</v>
      </c>
      <c r="L28">
        <v>4</v>
      </c>
      <c r="M28" t="s">
        <v>26</v>
      </c>
      <c r="N28">
        <v>1</v>
      </c>
      <c r="O28" t="s">
        <v>172</v>
      </c>
    </row>
    <row r="29" spans="1:15" x14ac:dyDescent="0.3">
      <c r="A29" s="6"/>
      <c r="B29" s="6">
        <v>12999</v>
      </c>
      <c r="C29" s="6" t="s">
        <v>320</v>
      </c>
      <c r="D29" s="6" t="s">
        <v>74</v>
      </c>
      <c r="E29" s="6" t="s">
        <v>21</v>
      </c>
      <c r="F29" s="6" t="s">
        <v>17</v>
      </c>
      <c r="G29" s="6">
        <v>5</v>
      </c>
      <c r="H29" s="6">
        <v>5</v>
      </c>
      <c r="I29" s="6">
        <v>5</v>
      </c>
      <c r="J29" s="6">
        <v>3</v>
      </c>
      <c r="K29" s="6">
        <v>3</v>
      </c>
      <c r="L29">
        <v>4.2</v>
      </c>
      <c r="M29" t="s">
        <v>26</v>
      </c>
      <c r="N29">
        <v>-2</v>
      </c>
      <c r="O29" t="s">
        <v>171</v>
      </c>
    </row>
    <row r="30" spans="1:15" x14ac:dyDescent="0.3">
      <c r="A30" s="6"/>
      <c r="B30" s="6">
        <v>13031</v>
      </c>
      <c r="C30" s="6" t="s">
        <v>321</v>
      </c>
      <c r="D30" s="6" t="s">
        <v>96</v>
      </c>
      <c r="E30" s="6" t="s">
        <v>16</v>
      </c>
      <c r="F30" s="6" t="s">
        <v>17</v>
      </c>
      <c r="G30" s="6">
        <v>4</v>
      </c>
      <c r="H30" s="6">
        <v>3</v>
      </c>
      <c r="I30" s="6">
        <v>4</v>
      </c>
      <c r="J30" s="6">
        <v>5</v>
      </c>
      <c r="K30" s="6">
        <v>4</v>
      </c>
      <c r="L30">
        <v>4</v>
      </c>
      <c r="M30" t="s">
        <v>26</v>
      </c>
      <c r="N30">
        <v>0</v>
      </c>
      <c r="O30" t="s">
        <v>171</v>
      </c>
    </row>
    <row r="31" spans="1:15" x14ac:dyDescent="0.3">
      <c r="A31" s="6"/>
      <c r="B31" s="6">
        <v>13021</v>
      </c>
      <c r="C31" s="6" t="s">
        <v>322</v>
      </c>
      <c r="D31" s="6" t="s">
        <v>76</v>
      </c>
      <c r="E31" s="6" t="s">
        <v>16</v>
      </c>
      <c r="F31" s="6" t="s">
        <v>17</v>
      </c>
      <c r="G31" s="6">
        <v>3</v>
      </c>
      <c r="H31" s="6">
        <v>1</v>
      </c>
      <c r="I31" s="6">
        <v>1</v>
      </c>
      <c r="J31" s="6">
        <v>5</v>
      </c>
      <c r="K31" s="6">
        <v>4</v>
      </c>
      <c r="L31">
        <v>2.8</v>
      </c>
      <c r="M31" t="s">
        <v>18</v>
      </c>
      <c r="N31">
        <v>1</v>
      </c>
      <c r="O31" t="s">
        <v>172</v>
      </c>
    </row>
    <row r="32" spans="1:15" x14ac:dyDescent="0.3">
      <c r="A32" s="6"/>
      <c r="B32" s="6">
        <v>13006</v>
      </c>
      <c r="C32" s="6" t="s">
        <v>323</v>
      </c>
      <c r="D32" s="6" t="s">
        <v>186</v>
      </c>
      <c r="E32" s="6" t="s">
        <v>21</v>
      </c>
      <c r="F32" s="6" t="s">
        <v>22</v>
      </c>
      <c r="G32" s="6">
        <v>4</v>
      </c>
      <c r="H32" s="6">
        <v>3</v>
      </c>
      <c r="I32" s="6">
        <v>4</v>
      </c>
      <c r="J32" s="6">
        <v>3</v>
      </c>
      <c r="K32" s="6">
        <v>3</v>
      </c>
      <c r="L32">
        <v>3.4</v>
      </c>
      <c r="M32" t="s">
        <v>23</v>
      </c>
      <c r="N32">
        <v>-1</v>
      </c>
      <c r="O32" t="s">
        <v>171</v>
      </c>
    </row>
    <row r="33" spans="1:15" x14ac:dyDescent="0.3">
      <c r="A33" s="6"/>
      <c r="B33" s="6">
        <v>13026</v>
      </c>
      <c r="C33" s="6" t="s">
        <v>324</v>
      </c>
      <c r="D33" s="6" t="s">
        <v>86</v>
      </c>
      <c r="E33" s="6" t="s">
        <v>21</v>
      </c>
      <c r="F33" s="6" t="s">
        <v>22</v>
      </c>
      <c r="G33" s="6">
        <v>4</v>
      </c>
      <c r="H33" s="6">
        <v>4</v>
      </c>
      <c r="I33" s="6">
        <v>3</v>
      </c>
      <c r="J33" s="6">
        <v>4</v>
      </c>
      <c r="K33" s="6">
        <v>2</v>
      </c>
      <c r="L33">
        <v>3.4</v>
      </c>
      <c r="M33" t="s">
        <v>23</v>
      </c>
      <c r="N33">
        <v>-2</v>
      </c>
      <c r="O33" t="s">
        <v>171</v>
      </c>
    </row>
    <row r="34" spans="1:15" x14ac:dyDescent="0.3">
      <c r="A34" s="6"/>
      <c r="B34" s="6">
        <v>12972</v>
      </c>
      <c r="C34" s="6" t="s">
        <v>325</v>
      </c>
      <c r="D34" s="6" t="s">
        <v>20</v>
      </c>
      <c r="E34" s="6" t="s">
        <v>21</v>
      </c>
      <c r="F34" s="6" t="s">
        <v>22</v>
      </c>
      <c r="G34" s="6">
        <v>4</v>
      </c>
      <c r="H34" s="6">
        <v>4</v>
      </c>
      <c r="I34" s="6">
        <v>2</v>
      </c>
      <c r="J34" s="6">
        <v>3</v>
      </c>
      <c r="K34" s="6">
        <v>5</v>
      </c>
      <c r="L34">
        <v>3.6</v>
      </c>
      <c r="M34" t="s">
        <v>23</v>
      </c>
      <c r="N34">
        <v>1</v>
      </c>
      <c r="O34" t="s">
        <v>172</v>
      </c>
    </row>
    <row r="35" spans="1:15" x14ac:dyDescent="0.3">
      <c r="A35" s="6"/>
      <c r="B35" s="6">
        <v>12990</v>
      </c>
      <c r="C35" s="6" t="s">
        <v>326</v>
      </c>
      <c r="D35" s="6" t="s">
        <v>56</v>
      </c>
      <c r="E35" s="6" t="s">
        <v>21</v>
      </c>
      <c r="F35" s="6" t="s">
        <v>17</v>
      </c>
      <c r="G35" s="6">
        <v>2</v>
      </c>
      <c r="H35" s="6">
        <v>2</v>
      </c>
      <c r="I35" s="6">
        <v>2</v>
      </c>
      <c r="J35" s="6">
        <v>2</v>
      </c>
      <c r="K35" s="6">
        <v>5</v>
      </c>
      <c r="L35">
        <v>2.6</v>
      </c>
      <c r="M35" t="s">
        <v>18</v>
      </c>
      <c r="N35">
        <v>3</v>
      </c>
      <c r="O35" t="s">
        <v>172</v>
      </c>
    </row>
    <row r="36" spans="1:15" x14ac:dyDescent="0.3">
      <c r="A36" s="6"/>
      <c r="B36" s="6">
        <v>13018</v>
      </c>
      <c r="C36" s="6" t="s">
        <v>327</v>
      </c>
      <c r="D36" s="6" t="s">
        <v>210</v>
      </c>
      <c r="E36" s="6" t="s">
        <v>21</v>
      </c>
      <c r="F36" s="6" t="s">
        <v>22</v>
      </c>
      <c r="G36" s="6">
        <v>4</v>
      </c>
      <c r="H36" s="6">
        <v>4</v>
      </c>
      <c r="I36" s="6">
        <v>5</v>
      </c>
      <c r="J36" s="6">
        <v>5</v>
      </c>
      <c r="K36" s="6">
        <v>2</v>
      </c>
      <c r="L36">
        <v>4</v>
      </c>
      <c r="M36" t="s">
        <v>26</v>
      </c>
      <c r="N36">
        <v>-2</v>
      </c>
      <c r="O36" t="s">
        <v>171</v>
      </c>
    </row>
    <row r="37" spans="1:15" x14ac:dyDescent="0.3">
      <c r="A37" s="6"/>
      <c r="B37" s="6">
        <v>13011</v>
      </c>
      <c r="C37" s="6" t="s">
        <v>328</v>
      </c>
      <c r="D37" s="6" t="s">
        <v>196</v>
      </c>
      <c r="E37" s="6" t="s">
        <v>21</v>
      </c>
      <c r="F37" s="6" t="s">
        <v>17</v>
      </c>
      <c r="G37" s="6">
        <v>4</v>
      </c>
      <c r="H37" s="6">
        <v>5</v>
      </c>
      <c r="I37" s="6">
        <v>5</v>
      </c>
      <c r="J37" s="6">
        <v>4</v>
      </c>
      <c r="K37" s="6">
        <v>3</v>
      </c>
      <c r="L37">
        <v>4.2</v>
      </c>
      <c r="M37" t="s">
        <v>26</v>
      </c>
      <c r="N37">
        <v>-1</v>
      </c>
      <c r="O37" t="s">
        <v>171</v>
      </c>
    </row>
    <row r="38" spans="1:15" x14ac:dyDescent="0.3">
      <c r="A38" s="6"/>
      <c r="B38" s="6">
        <v>12995</v>
      </c>
      <c r="C38" s="6" t="s">
        <v>329</v>
      </c>
      <c r="D38" s="6" t="s">
        <v>66</v>
      </c>
      <c r="E38" s="6" t="s">
        <v>21</v>
      </c>
      <c r="F38" s="6" t="s">
        <v>17</v>
      </c>
      <c r="G38" s="6">
        <v>2</v>
      </c>
      <c r="H38" s="6">
        <v>2</v>
      </c>
      <c r="I38" s="6">
        <v>4</v>
      </c>
      <c r="J38" s="6">
        <v>4</v>
      </c>
      <c r="K38" s="6">
        <v>3</v>
      </c>
      <c r="L38">
        <v>3</v>
      </c>
      <c r="M38" t="s">
        <v>23</v>
      </c>
      <c r="N38">
        <v>1</v>
      </c>
      <c r="O38" t="s">
        <v>172</v>
      </c>
    </row>
    <row r="39" spans="1:15" x14ac:dyDescent="0.3">
      <c r="A39" s="6"/>
      <c r="B39" s="6">
        <v>12996</v>
      </c>
      <c r="C39" s="6" t="s">
        <v>330</v>
      </c>
      <c r="D39" s="6" t="s">
        <v>68</v>
      </c>
      <c r="E39" s="6" t="s">
        <v>16</v>
      </c>
      <c r="F39" s="6" t="s">
        <v>22</v>
      </c>
      <c r="G39" s="6">
        <v>4</v>
      </c>
      <c r="H39" s="6">
        <v>3</v>
      </c>
      <c r="I39" s="6">
        <v>5</v>
      </c>
      <c r="J39" s="6">
        <v>5</v>
      </c>
      <c r="K39" s="6">
        <v>2</v>
      </c>
      <c r="L39">
        <v>3.8</v>
      </c>
      <c r="M39" t="s">
        <v>23</v>
      </c>
      <c r="N39">
        <v>-2</v>
      </c>
      <c r="O39" t="s">
        <v>171</v>
      </c>
    </row>
    <row r="40" spans="1:15" x14ac:dyDescent="0.3">
      <c r="A40" s="6"/>
      <c r="B40" s="6">
        <v>13030</v>
      </c>
      <c r="C40" s="6" t="s">
        <v>331</v>
      </c>
      <c r="D40" s="6" t="s">
        <v>94</v>
      </c>
      <c r="E40" s="6" t="s">
        <v>21</v>
      </c>
      <c r="F40" s="6" t="s">
        <v>22</v>
      </c>
      <c r="G40" s="6">
        <v>5</v>
      </c>
      <c r="H40" s="6">
        <v>5</v>
      </c>
      <c r="I40" s="6">
        <v>4</v>
      </c>
      <c r="J40" s="6">
        <v>3</v>
      </c>
      <c r="K40" s="6">
        <v>3</v>
      </c>
      <c r="L40">
        <v>4</v>
      </c>
      <c r="M40" t="s">
        <v>26</v>
      </c>
      <c r="N40">
        <v>-2</v>
      </c>
      <c r="O40" t="s">
        <v>171</v>
      </c>
    </row>
    <row r="41" spans="1:15" x14ac:dyDescent="0.3">
      <c r="A41" s="6"/>
      <c r="B41" s="6">
        <v>13013</v>
      </c>
      <c r="C41" s="6" t="s">
        <v>332</v>
      </c>
      <c r="D41" s="6" t="s">
        <v>200</v>
      </c>
      <c r="E41" s="6" t="s">
        <v>21</v>
      </c>
      <c r="F41" s="6" t="s">
        <v>17</v>
      </c>
      <c r="G41" s="6">
        <v>4</v>
      </c>
      <c r="H41" s="6">
        <v>5</v>
      </c>
      <c r="I41" s="6">
        <v>4</v>
      </c>
      <c r="J41" s="6">
        <v>5</v>
      </c>
      <c r="K41" s="6">
        <v>5</v>
      </c>
      <c r="L41">
        <v>4.5999999999999996</v>
      </c>
      <c r="M41" t="s">
        <v>26</v>
      </c>
      <c r="N41">
        <v>1</v>
      </c>
      <c r="O41" t="s">
        <v>172</v>
      </c>
    </row>
    <row r="42" spans="1:15" x14ac:dyDescent="0.3">
      <c r="A42" s="6"/>
      <c r="B42" s="6">
        <v>13019</v>
      </c>
      <c r="C42" s="6" t="s">
        <v>333</v>
      </c>
      <c r="D42" s="6" t="s">
        <v>212</v>
      </c>
      <c r="E42" s="6" t="s">
        <v>16</v>
      </c>
      <c r="F42" s="6" t="s">
        <v>17</v>
      </c>
      <c r="G42" s="6">
        <v>3</v>
      </c>
      <c r="H42" s="6">
        <v>3</v>
      </c>
      <c r="I42" s="6">
        <v>4</v>
      </c>
      <c r="J42" s="6">
        <v>4</v>
      </c>
      <c r="K42" s="6">
        <v>2</v>
      </c>
      <c r="L42">
        <v>3.2</v>
      </c>
      <c r="M42" t="s">
        <v>23</v>
      </c>
      <c r="N42">
        <v>-1</v>
      </c>
      <c r="O42" t="s">
        <v>171</v>
      </c>
    </row>
    <row r="43" spans="1:15" x14ac:dyDescent="0.3">
      <c r="A43" s="6"/>
      <c r="B43" s="6">
        <v>12981</v>
      </c>
      <c r="C43" s="6" t="s">
        <v>334</v>
      </c>
      <c r="D43" s="6" t="s">
        <v>43</v>
      </c>
      <c r="E43" s="6" t="s">
        <v>16</v>
      </c>
      <c r="F43" s="6" t="s">
        <v>22</v>
      </c>
      <c r="G43" s="6">
        <v>3</v>
      </c>
      <c r="H43" s="6">
        <v>3</v>
      </c>
      <c r="I43" s="6">
        <v>4</v>
      </c>
      <c r="J43" s="6">
        <v>5</v>
      </c>
      <c r="K43" s="6">
        <v>4</v>
      </c>
      <c r="L43">
        <v>3.8</v>
      </c>
      <c r="M43" t="s">
        <v>23</v>
      </c>
      <c r="N43">
        <v>1</v>
      </c>
      <c r="O43" t="s">
        <v>172</v>
      </c>
    </row>
    <row r="44" spans="1:15" x14ac:dyDescent="0.3">
      <c r="A44" s="6"/>
      <c r="B44" s="6">
        <v>13024</v>
      </c>
      <c r="C44" s="6" t="s">
        <v>335</v>
      </c>
      <c r="D44" s="6" t="s">
        <v>82</v>
      </c>
      <c r="E44" s="6" t="s">
        <v>21</v>
      </c>
      <c r="F44" s="6" t="s">
        <v>22</v>
      </c>
      <c r="G44" s="6">
        <v>3</v>
      </c>
      <c r="H44" s="6">
        <v>4</v>
      </c>
      <c r="I44" s="6">
        <v>5</v>
      </c>
      <c r="J44" s="6">
        <v>5</v>
      </c>
      <c r="K44" s="6">
        <v>4</v>
      </c>
      <c r="L44">
        <v>4.2</v>
      </c>
      <c r="M44" t="s">
        <v>26</v>
      </c>
      <c r="N44">
        <v>1</v>
      </c>
      <c r="O44" t="s">
        <v>172</v>
      </c>
    </row>
    <row r="45" spans="1:15" x14ac:dyDescent="0.3">
      <c r="A45" s="6"/>
      <c r="B45" s="6">
        <v>13008</v>
      </c>
      <c r="C45" s="6" t="s">
        <v>336</v>
      </c>
      <c r="D45" s="6" t="s">
        <v>190</v>
      </c>
      <c r="E45" s="6" t="s">
        <v>21</v>
      </c>
      <c r="F45" s="6" t="s">
        <v>22</v>
      </c>
      <c r="G45" s="6">
        <v>5</v>
      </c>
      <c r="H45" s="6">
        <v>3</v>
      </c>
      <c r="I45" s="6">
        <v>2</v>
      </c>
      <c r="J45" s="6">
        <v>4</v>
      </c>
      <c r="K45" s="6">
        <v>4</v>
      </c>
      <c r="L45">
        <v>3.6</v>
      </c>
      <c r="M45" t="s">
        <v>23</v>
      </c>
      <c r="N45">
        <v>-1</v>
      </c>
      <c r="O45" t="s">
        <v>171</v>
      </c>
    </row>
    <row r="46" spans="1:15" x14ac:dyDescent="0.3">
      <c r="A46" s="6"/>
      <c r="B46" s="6">
        <v>13009</v>
      </c>
      <c r="C46" s="6" t="s">
        <v>337</v>
      </c>
      <c r="D46" s="6" t="s">
        <v>192</v>
      </c>
      <c r="E46" s="6" t="s">
        <v>16</v>
      </c>
      <c r="F46" s="6" t="s">
        <v>17</v>
      </c>
      <c r="G46" s="6">
        <v>2</v>
      </c>
      <c r="H46" s="6">
        <v>2</v>
      </c>
      <c r="I46" s="6">
        <v>3</v>
      </c>
      <c r="J46" s="6">
        <v>3</v>
      </c>
      <c r="K46" s="6">
        <v>4</v>
      </c>
      <c r="L46">
        <v>2.8</v>
      </c>
      <c r="M46" t="s">
        <v>18</v>
      </c>
      <c r="N46">
        <v>2</v>
      </c>
      <c r="O46" t="s">
        <v>172</v>
      </c>
    </row>
    <row r="47" spans="1:15" x14ac:dyDescent="0.3">
      <c r="A47" s="6"/>
      <c r="B47" s="6">
        <v>12984</v>
      </c>
      <c r="C47" s="6" t="s">
        <v>338</v>
      </c>
      <c r="D47" s="6" t="s">
        <v>28</v>
      </c>
      <c r="E47" s="6" t="s">
        <v>21</v>
      </c>
      <c r="F47" s="6" t="s">
        <v>22</v>
      </c>
      <c r="G47" s="6">
        <v>2</v>
      </c>
      <c r="H47" s="6">
        <v>3</v>
      </c>
      <c r="I47" s="6">
        <v>3</v>
      </c>
      <c r="J47" s="6">
        <v>3</v>
      </c>
      <c r="K47" s="6">
        <v>4</v>
      </c>
      <c r="L47">
        <v>3</v>
      </c>
      <c r="M47" t="s">
        <v>23</v>
      </c>
      <c r="N47">
        <v>2</v>
      </c>
      <c r="O47" t="s">
        <v>172</v>
      </c>
    </row>
    <row r="48" spans="1:15" x14ac:dyDescent="0.3">
      <c r="A48" s="6"/>
      <c r="B48" s="6">
        <v>12974</v>
      </c>
      <c r="C48" s="6" t="s">
        <v>338</v>
      </c>
      <c r="D48" s="6" t="s">
        <v>28</v>
      </c>
      <c r="E48" s="6" t="s">
        <v>21</v>
      </c>
      <c r="F48" s="6" t="s">
        <v>22</v>
      </c>
      <c r="G48" s="6">
        <v>2</v>
      </c>
      <c r="H48" s="6">
        <v>3</v>
      </c>
      <c r="I48" s="6">
        <v>3</v>
      </c>
      <c r="J48" s="6">
        <v>3</v>
      </c>
      <c r="K48" s="6">
        <v>4</v>
      </c>
      <c r="L48">
        <v>3</v>
      </c>
      <c r="M48" t="s">
        <v>23</v>
      </c>
      <c r="N48">
        <v>2</v>
      </c>
      <c r="O48" t="s">
        <v>172</v>
      </c>
    </row>
    <row r="49" spans="1:15" x14ac:dyDescent="0.3">
      <c r="A49" s="6"/>
      <c r="B49" s="6">
        <v>13025</v>
      </c>
      <c r="C49" s="6" t="s">
        <v>339</v>
      </c>
      <c r="D49" s="6" t="s">
        <v>84</v>
      </c>
      <c r="E49" s="6" t="s">
        <v>16</v>
      </c>
      <c r="F49" s="6" t="s">
        <v>17</v>
      </c>
      <c r="G49" s="6">
        <v>4</v>
      </c>
      <c r="H49" s="6">
        <v>5</v>
      </c>
      <c r="I49" s="6">
        <v>4</v>
      </c>
      <c r="J49" s="6">
        <v>4</v>
      </c>
      <c r="K49" s="6">
        <v>2</v>
      </c>
      <c r="L49">
        <v>3.8</v>
      </c>
      <c r="M49" t="s">
        <v>23</v>
      </c>
      <c r="N49">
        <v>-2</v>
      </c>
      <c r="O49" t="s">
        <v>171</v>
      </c>
    </row>
    <row r="50" spans="1:15" x14ac:dyDescent="0.3">
      <c r="A50" s="6"/>
      <c r="B50" s="6">
        <v>13010</v>
      </c>
      <c r="C50" s="6" t="s">
        <v>340</v>
      </c>
      <c r="D50" s="6" t="s">
        <v>194</v>
      </c>
      <c r="E50" s="6" t="s">
        <v>16</v>
      </c>
      <c r="F50" s="6" t="s">
        <v>22</v>
      </c>
      <c r="G50" s="6">
        <v>5</v>
      </c>
      <c r="H50" s="6">
        <v>4</v>
      </c>
      <c r="I50" s="6">
        <v>4</v>
      </c>
      <c r="J50" s="6">
        <v>5</v>
      </c>
      <c r="K50" s="6">
        <v>5</v>
      </c>
      <c r="L50">
        <v>4.5999999999999996</v>
      </c>
      <c r="M50" t="s">
        <v>26</v>
      </c>
      <c r="N50">
        <v>0</v>
      </c>
      <c r="O50" t="s">
        <v>171</v>
      </c>
    </row>
    <row r="51" spans="1:15" x14ac:dyDescent="0.3">
      <c r="A51" s="6"/>
      <c r="B51" s="6">
        <v>12993</v>
      </c>
      <c r="C51" s="6" t="s">
        <v>341</v>
      </c>
      <c r="D51" s="6" t="s">
        <v>62</v>
      </c>
      <c r="E51" s="6" t="s">
        <v>21</v>
      </c>
      <c r="F51" s="6" t="s">
        <v>17</v>
      </c>
      <c r="G51" s="6">
        <v>5</v>
      </c>
      <c r="H51" s="6">
        <v>3</v>
      </c>
      <c r="I51" s="6">
        <v>2</v>
      </c>
      <c r="J51" s="6">
        <v>4</v>
      </c>
      <c r="K51" s="6">
        <v>3</v>
      </c>
      <c r="L51">
        <v>3.4</v>
      </c>
      <c r="M51" t="s">
        <v>23</v>
      </c>
      <c r="N51">
        <v>-2</v>
      </c>
      <c r="O51" t="s">
        <v>171</v>
      </c>
    </row>
    <row r="52" spans="1:15" x14ac:dyDescent="0.3">
      <c r="A52" s="6"/>
      <c r="B52" s="6">
        <v>13022</v>
      </c>
      <c r="C52" s="6" t="s">
        <v>342</v>
      </c>
      <c r="D52" s="6" t="s">
        <v>78</v>
      </c>
      <c r="E52" s="6" t="s">
        <v>21</v>
      </c>
      <c r="F52" s="6" t="s">
        <v>22</v>
      </c>
      <c r="G52" s="6">
        <v>4</v>
      </c>
      <c r="H52" s="6">
        <v>3</v>
      </c>
      <c r="I52" s="6">
        <v>4</v>
      </c>
      <c r="J52" s="6">
        <v>4</v>
      </c>
      <c r="K52" s="6">
        <v>5</v>
      </c>
      <c r="L52">
        <v>4</v>
      </c>
      <c r="M52" t="s">
        <v>26</v>
      </c>
      <c r="N52">
        <v>1</v>
      </c>
      <c r="O52" t="s">
        <v>172</v>
      </c>
    </row>
    <row r="53" spans="1:15" x14ac:dyDescent="0.3">
      <c r="A53" s="6"/>
      <c r="B53" s="6">
        <v>12997</v>
      </c>
      <c r="C53" s="6" t="s">
        <v>343</v>
      </c>
      <c r="D53" s="6" t="s">
        <v>70</v>
      </c>
      <c r="E53" s="6" t="s">
        <v>21</v>
      </c>
      <c r="F53" s="6" t="s">
        <v>17</v>
      </c>
      <c r="G53" s="6">
        <v>3</v>
      </c>
      <c r="H53" s="6">
        <v>5</v>
      </c>
      <c r="I53" s="6">
        <v>4</v>
      </c>
      <c r="J53" s="6">
        <v>2</v>
      </c>
      <c r="K53" s="6">
        <v>5</v>
      </c>
      <c r="L53">
        <v>3.8</v>
      </c>
      <c r="M53" t="s">
        <v>23</v>
      </c>
      <c r="N53">
        <v>2</v>
      </c>
      <c r="O53" t="s">
        <v>172</v>
      </c>
    </row>
    <row r="54" spans="1:15" x14ac:dyDescent="0.3">
      <c r="A54" s="6"/>
      <c r="B54" s="6">
        <v>13028</v>
      </c>
      <c r="C54" s="6" t="s">
        <v>344</v>
      </c>
      <c r="D54" s="6" t="s">
        <v>90</v>
      </c>
      <c r="E54" s="6" t="s">
        <v>21</v>
      </c>
      <c r="F54" s="6" t="s">
        <v>22</v>
      </c>
      <c r="G54" s="6">
        <v>3</v>
      </c>
      <c r="H54" s="6">
        <v>4</v>
      </c>
      <c r="I54" s="6">
        <v>4</v>
      </c>
      <c r="J54" s="6">
        <v>4</v>
      </c>
      <c r="K54" s="6">
        <v>3</v>
      </c>
      <c r="L54">
        <v>3.6</v>
      </c>
      <c r="M54" t="s">
        <v>23</v>
      </c>
      <c r="N54">
        <v>0</v>
      </c>
      <c r="O54" t="s">
        <v>171</v>
      </c>
    </row>
    <row r="55" spans="1:15" x14ac:dyDescent="0.3">
      <c r="A55" s="6"/>
      <c r="B55" s="6">
        <v>13012</v>
      </c>
      <c r="C55" s="6" t="s">
        <v>345</v>
      </c>
      <c r="D55" s="6" t="s">
        <v>198</v>
      </c>
      <c r="E55" s="6" t="s">
        <v>16</v>
      </c>
      <c r="F55" s="6" t="s">
        <v>22</v>
      </c>
      <c r="G55" s="6">
        <v>3</v>
      </c>
      <c r="H55" s="6">
        <v>3</v>
      </c>
      <c r="I55" s="6">
        <v>4</v>
      </c>
      <c r="J55" s="6">
        <v>5</v>
      </c>
      <c r="K55" s="6">
        <v>4</v>
      </c>
      <c r="L55">
        <v>3.8</v>
      </c>
      <c r="M55" t="s">
        <v>23</v>
      </c>
      <c r="N55">
        <v>1</v>
      </c>
      <c r="O55" t="s">
        <v>172</v>
      </c>
    </row>
    <row r="56" spans="1:15" x14ac:dyDescent="0.3">
      <c r="A56" s="6"/>
      <c r="B56" s="6">
        <v>12978</v>
      </c>
      <c r="C56" s="6" t="s">
        <v>346</v>
      </c>
      <c r="D56" s="6" t="s">
        <v>37</v>
      </c>
      <c r="E56" s="6" t="s">
        <v>21</v>
      </c>
      <c r="F56" s="6" t="s">
        <v>17</v>
      </c>
      <c r="G56" s="6">
        <v>3</v>
      </c>
      <c r="H56" s="6">
        <v>2</v>
      </c>
      <c r="I56" s="6">
        <v>4</v>
      </c>
      <c r="J56" s="6">
        <v>4</v>
      </c>
      <c r="K56" s="6">
        <v>3</v>
      </c>
      <c r="L56">
        <v>3.2</v>
      </c>
      <c r="M56" t="s">
        <v>23</v>
      </c>
      <c r="N56">
        <v>0</v>
      </c>
      <c r="O56" t="s">
        <v>171</v>
      </c>
    </row>
    <row r="57" spans="1:15" x14ac:dyDescent="0.3">
      <c r="A57" s="6"/>
      <c r="B57" s="6">
        <v>12992</v>
      </c>
      <c r="C57" s="6" t="s">
        <v>347</v>
      </c>
      <c r="D57" s="6" t="s">
        <v>60</v>
      </c>
      <c r="E57" s="6" t="s">
        <v>21</v>
      </c>
      <c r="F57" s="6" t="s">
        <v>17</v>
      </c>
      <c r="G57" s="6">
        <v>3</v>
      </c>
      <c r="H57" s="6">
        <v>3</v>
      </c>
      <c r="I57" s="6">
        <v>3</v>
      </c>
      <c r="J57" s="6">
        <v>5</v>
      </c>
      <c r="K57" s="6">
        <v>4</v>
      </c>
      <c r="L57">
        <v>3.6</v>
      </c>
      <c r="M57" t="s">
        <v>23</v>
      </c>
      <c r="N57">
        <v>1</v>
      </c>
      <c r="O57" t="s">
        <v>172</v>
      </c>
    </row>
    <row r="58" spans="1:15" x14ac:dyDescent="0.3">
      <c r="A58" s="6"/>
      <c r="B58" s="6">
        <v>13016</v>
      </c>
      <c r="C58" s="6" t="s">
        <v>348</v>
      </c>
      <c r="D58" s="6" t="s">
        <v>206</v>
      </c>
      <c r="E58" s="6" t="s">
        <v>21</v>
      </c>
      <c r="F58" s="6" t="s">
        <v>22</v>
      </c>
      <c r="G58" s="6">
        <v>4</v>
      </c>
      <c r="H58" s="6">
        <v>3</v>
      </c>
      <c r="I58" s="6">
        <v>5</v>
      </c>
      <c r="J58" s="6">
        <v>4</v>
      </c>
      <c r="K58" s="6">
        <v>5</v>
      </c>
      <c r="L58">
        <v>4.2</v>
      </c>
      <c r="M58" t="s">
        <v>26</v>
      </c>
      <c r="N58">
        <v>1</v>
      </c>
      <c r="O58" t="s">
        <v>172</v>
      </c>
    </row>
    <row r="59" spans="1:15" x14ac:dyDescent="0.3">
      <c r="A59" s="6"/>
      <c r="B59" s="6">
        <v>12985</v>
      </c>
      <c r="C59" s="6" t="s">
        <v>349</v>
      </c>
      <c r="D59" s="6" t="s">
        <v>31</v>
      </c>
      <c r="E59" s="6" t="s">
        <v>16</v>
      </c>
      <c r="F59" s="6" t="s">
        <v>17</v>
      </c>
      <c r="G59" s="6">
        <v>3</v>
      </c>
      <c r="H59" s="6">
        <v>3</v>
      </c>
      <c r="I59" s="6">
        <v>4</v>
      </c>
      <c r="J59" s="6">
        <v>4</v>
      </c>
      <c r="K59" s="6">
        <v>3</v>
      </c>
      <c r="L59">
        <v>3.4</v>
      </c>
      <c r="M59" t="s">
        <v>23</v>
      </c>
      <c r="N59">
        <v>0</v>
      </c>
      <c r="O59" t="s">
        <v>171</v>
      </c>
    </row>
    <row r="60" spans="1:15" x14ac:dyDescent="0.3">
      <c r="A60" s="6"/>
      <c r="B60" s="6">
        <v>12975</v>
      </c>
      <c r="C60" s="6" t="s">
        <v>349</v>
      </c>
      <c r="D60" s="6" t="s">
        <v>31</v>
      </c>
      <c r="E60" s="6" t="s">
        <v>16</v>
      </c>
      <c r="F60" s="6" t="s">
        <v>17</v>
      </c>
      <c r="G60" s="6">
        <v>3</v>
      </c>
      <c r="H60" s="6">
        <v>3</v>
      </c>
      <c r="I60" s="6">
        <v>4</v>
      </c>
      <c r="J60" s="6">
        <v>4</v>
      </c>
      <c r="K60" s="6">
        <v>5</v>
      </c>
      <c r="L60">
        <v>3.8</v>
      </c>
      <c r="M60" t="s">
        <v>23</v>
      </c>
      <c r="N60">
        <v>2</v>
      </c>
      <c r="O60" t="s">
        <v>172</v>
      </c>
    </row>
    <row r="61" spans="1:15" x14ac:dyDescent="0.3">
      <c r="A61" s="6"/>
      <c r="B61" s="6">
        <v>13029</v>
      </c>
      <c r="C61" s="6" t="s">
        <v>350</v>
      </c>
      <c r="D61" s="6" t="s">
        <v>92</v>
      </c>
      <c r="E61" s="6" t="s">
        <v>16</v>
      </c>
      <c r="F61" s="6" t="s">
        <v>17</v>
      </c>
      <c r="G61" s="6">
        <v>2</v>
      </c>
      <c r="H61" s="6">
        <v>3</v>
      </c>
      <c r="I61" s="6">
        <v>5</v>
      </c>
      <c r="J61" s="6">
        <v>5</v>
      </c>
      <c r="K61" s="6">
        <v>2</v>
      </c>
      <c r="L61">
        <v>3.4</v>
      </c>
      <c r="M61" t="s">
        <v>23</v>
      </c>
      <c r="N61">
        <v>0</v>
      </c>
      <c r="O61" t="s">
        <v>171</v>
      </c>
    </row>
    <row r="62" spans="1:15" x14ac:dyDescent="0.3">
      <c r="A62" s="6"/>
      <c r="B62" s="6">
        <v>13015</v>
      </c>
      <c r="C62" s="6" t="s">
        <v>351</v>
      </c>
      <c r="D62" s="6" t="s">
        <v>204</v>
      </c>
      <c r="E62" s="6" t="s">
        <v>21</v>
      </c>
      <c r="F62" s="6" t="s">
        <v>17</v>
      </c>
      <c r="G62" s="6">
        <v>5</v>
      </c>
      <c r="H62" s="6">
        <v>5</v>
      </c>
      <c r="I62" s="6">
        <v>3</v>
      </c>
      <c r="J62" s="6">
        <v>4</v>
      </c>
      <c r="K62" s="6">
        <v>5</v>
      </c>
      <c r="L62">
        <v>4.4000000000000004</v>
      </c>
      <c r="M62" t="s">
        <v>26</v>
      </c>
      <c r="N62">
        <v>0</v>
      </c>
      <c r="O62" t="s">
        <v>171</v>
      </c>
    </row>
    <row r="63" spans="1:15" x14ac:dyDescent="0.3">
      <c r="A63" s="6"/>
      <c r="B63" s="6">
        <v>12988</v>
      </c>
      <c r="C63" s="6" t="s">
        <v>352</v>
      </c>
      <c r="D63" s="6" t="s">
        <v>52</v>
      </c>
      <c r="E63" s="6" t="s">
        <v>21</v>
      </c>
      <c r="F63" s="6" t="s">
        <v>17</v>
      </c>
      <c r="G63" s="6">
        <v>3</v>
      </c>
      <c r="H63" s="6">
        <v>4</v>
      </c>
      <c r="I63" s="6">
        <v>4</v>
      </c>
      <c r="J63" s="6">
        <v>3</v>
      </c>
      <c r="K63" s="6">
        <v>4</v>
      </c>
      <c r="L63">
        <v>3.6</v>
      </c>
      <c r="M63" t="s">
        <v>23</v>
      </c>
      <c r="N63">
        <v>1</v>
      </c>
      <c r="O63" t="s">
        <v>172</v>
      </c>
    </row>
    <row r="64" spans="1:15" x14ac:dyDescent="0.3">
      <c r="A64" s="6"/>
      <c r="B64" s="6">
        <v>12980</v>
      </c>
      <c r="C64" s="6" t="s">
        <v>353</v>
      </c>
      <c r="D64" s="6" t="s">
        <v>41</v>
      </c>
      <c r="E64" s="6" t="s">
        <v>21</v>
      </c>
      <c r="F64" s="6" t="s">
        <v>17</v>
      </c>
      <c r="G64" s="6">
        <v>5</v>
      </c>
      <c r="H64" s="6">
        <v>4</v>
      </c>
      <c r="I64" s="6">
        <v>3</v>
      </c>
      <c r="J64" s="6">
        <v>2</v>
      </c>
      <c r="K64" s="6">
        <v>5</v>
      </c>
      <c r="L64">
        <v>3.8</v>
      </c>
      <c r="M64" t="s">
        <v>23</v>
      </c>
      <c r="N64">
        <v>0</v>
      </c>
      <c r="O64" t="s">
        <v>171</v>
      </c>
    </row>
    <row r="65" spans="1:15" x14ac:dyDescent="0.3">
      <c r="A65" s="6"/>
      <c r="B65" s="6">
        <v>13059</v>
      </c>
      <c r="C65" s="6" t="s">
        <v>267</v>
      </c>
      <c r="D65" s="6" t="s">
        <v>268</v>
      </c>
      <c r="E65" s="6" t="s">
        <v>21</v>
      </c>
      <c r="F65" s="6" t="s">
        <v>17</v>
      </c>
      <c r="G65" s="6">
        <v>3</v>
      </c>
      <c r="H65" s="6">
        <v>2</v>
      </c>
      <c r="I65" s="6">
        <v>3</v>
      </c>
      <c r="J65" s="6">
        <v>5</v>
      </c>
      <c r="K65" s="6">
        <v>4</v>
      </c>
      <c r="L65">
        <v>3.4</v>
      </c>
      <c r="M65" t="s">
        <v>23</v>
      </c>
      <c r="N65">
        <v>1</v>
      </c>
      <c r="O65" t="s">
        <v>172</v>
      </c>
    </row>
    <row r="66" spans="1:15" x14ac:dyDescent="0.3">
      <c r="A66" s="6"/>
      <c r="B66">
        <v>13091</v>
      </c>
      <c r="C66" t="s">
        <v>153</v>
      </c>
      <c r="D66" s="6" t="s">
        <v>154</v>
      </c>
      <c r="E66" s="6" t="s">
        <v>16</v>
      </c>
      <c r="F66" s="6" t="s">
        <v>17</v>
      </c>
      <c r="G66" s="6">
        <v>4</v>
      </c>
      <c r="H66" s="6">
        <v>4</v>
      </c>
      <c r="I66" s="6">
        <v>4</v>
      </c>
      <c r="J66" s="6">
        <v>4</v>
      </c>
      <c r="K66" s="6">
        <v>2</v>
      </c>
      <c r="L66">
        <v>3.6</v>
      </c>
      <c r="M66" t="s">
        <v>23</v>
      </c>
      <c r="N66">
        <v>-2</v>
      </c>
      <c r="O66" t="s">
        <v>171</v>
      </c>
    </row>
    <row r="67" spans="1:15" x14ac:dyDescent="0.3">
      <c r="A67" s="6"/>
      <c r="B67" s="6">
        <v>13063</v>
      </c>
      <c r="C67" s="6" t="s">
        <v>99</v>
      </c>
      <c r="D67" s="6" t="s">
        <v>275</v>
      </c>
      <c r="E67" s="6" t="s">
        <v>21</v>
      </c>
      <c r="F67" s="6" t="s">
        <v>22</v>
      </c>
      <c r="G67" s="6">
        <v>5</v>
      </c>
      <c r="H67" s="6">
        <v>5</v>
      </c>
      <c r="I67" s="6">
        <v>3</v>
      </c>
      <c r="J67" s="6">
        <v>5</v>
      </c>
      <c r="K67" s="6">
        <v>4</v>
      </c>
      <c r="L67">
        <v>4.4000000000000004</v>
      </c>
      <c r="M67" t="s">
        <v>26</v>
      </c>
      <c r="N67">
        <v>-1</v>
      </c>
      <c r="O67" t="s">
        <v>171</v>
      </c>
    </row>
    <row r="68" spans="1:15" x14ac:dyDescent="0.3">
      <c r="A68" s="6"/>
      <c r="B68">
        <v>13101</v>
      </c>
      <c r="C68" t="s">
        <v>278</v>
      </c>
      <c r="D68" s="7">
        <v>36048</v>
      </c>
      <c r="E68" t="s">
        <v>16</v>
      </c>
      <c r="F68" t="s">
        <v>22</v>
      </c>
      <c r="G68">
        <v>5</v>
      </c>
      <c r="H68">
        <v>4</v>
      </c>
      <c r="I68">
        <v>4</v>
      </c>
      <c r="J68">
        <v>5</v>
      </c>
      <c r="K68" s="6">
        <v>5</v>
      </c>
      <c r="L68">
        <v>4.5999999999999996</v>
      </c>
      <c r="M68" t="s">
        <v>26</v>
      </c>
      <c r="N68">
        <v>0</v>
      </c>
      <c r="O68" t="s">
        <v>171</v>
      </c>
    </row>
    <row r="69" spans="1:15" x14ac:dyDescent="0.3">
      <c r="A69" s="6"/>
      <c r="B69">
        <v>13111</v>
      </c>
      <c r="C69" t="s">
        <v>278</v>
      </c>
      <c r="D69" s="7" t="s">
        <v>288</v>
      </c>
      <c r="E69" t="s">
        <v>21</v>
      </c>
      <c r="F69" t="s">
        <v>22</v>
      </c>
      <c r="G69">
        <v>3</v>
      </c>
      <c r="H69">
        <v>2</v>
      </c>
      <c r="I69">
        <v>3</v>
      </c>
      <c r="J69">
        <v>4</v>
      </c>
      <c r="K69" s="6">
        <v>5</v>
      </c>
      <c r="L69">
        <v>3.4</v>
      </c>
      <c r="M69" t="s">
        <v>23</v>
      </c>
      <c r="N69">
        <v>2</v>
      </c>
      <c r="O69" t="s">
        <v>172</v>
      </c>
    </row>
    <row r="70" spans="1:15" x14ac:dyDescent="0.3">
      <c r="A70" s="6"/>
      <c r="B70">
        <v>13094</v>
      </c>
      <c r="C70" t="s">
        <v>159</v>
      </c>
      <c r="D70" s="6" t="s">
        <v>160</v>
      </c>
      <c r="E70" s="6" t="s">
        <v>21</v>
      </c>
      <c r="F70" s="6" t="s">
        <v>17</v>
      </c>
      <c r="G70" s="6">
        <v>5</v>
      </c>
      <c r="H70" s="6">
        <v>5</v>
      </c>
      <c r="I70" s="6">
        <v>3</v>
      </c>
      <c r="J70" s="6">
        <v>3</v>
      </c>
      <c r="K70" s="6">
        <v>4</v>
      </c>
      <c r="L70">
        <v>4</v>
      </c>
      <c r="M70" t="s">
        <v>26</v>
      </c>
      <c r="N70">
        <v>-1</v>
      </c>
      <c r="O70" t="s">
        <v>171</v>
      </c>
    </row>
    <row r="71" spans="1:15" x14ac:dyDescent="0.3">
      <c r="A71" s="6"/>
      <c r="B71" s="6">
        <v>13036</v>
      </c>
      <c r="C71" s="6" t="s">
        <v>221</v>
      </c>
      <c r="D71" s="6" t="s">
        <v>222</v>
      </c>
      <c r="E71" s="6" t="s">
        <v>16</v>
      </c>
      <c r="F71" s="6" t="s">
        <v>22</v>
      </c>
      <c r="G71" s="6">
        <v>3</v>
      </c>
      <c r="H71" s="6">
        <v>2</v>
      </c>
      <c r="I71" s="6">
        <v>1</v>
      </c>
      <c r="J71" s="6">
        <v>4</v>
      </c>
      <c r="K71" s="6">
        <v>4</v>
      </c>
      <c r="L71">
        <v>2.8</v>
      </c>
      <c r="M71" t="s">
        <v>18</v>
      </c>
      <c r="N71">
        <v>1</v>
      </c>
      <c r="O71" t="s">
        <v>172</v>
      </c>
    </row>
    <row r="72" spans="1:15" x14ac:dyDescent="0.3">
      <c r="A72" s="6"/>
      <c r="B72" s="6">
        <v>13052</v>
      </c>
      <c r="C72" s="6" t="s">
        <v>253</v>
      </c>
      <c r="D72" s="6" t="s">
        <v>254</v>
      </c>
      <c r="E72" s="6" t="s">
        <v>16</v>
      </c>
      <c r="F72" s="6" t="s">
        <v>22</v>
      </c>
      <c r="G72" s="6">
        <v>5</v>
      </c>
      <c r="H72" s="6">
        <v>2</v>
      </c>
      <c r="I72" s="6">
        <v>3</v>
      </c>
      <c r="J72" s="6">
        <v>4</v>
      </c>
      <c r="K72" s="6">
        <v>4</v>
      </c>
      <c r="L72">
        <v>3.6</v>
      </c>
      <c r="M72" t="s">
        <v>23</v>
      </c>
      <c r="N72">
        <v>-1</v>
      </c>
      <c r="O72" t="s">
        <v>171</v>
      </c>
    </row>
    <row r="73" spans="1:15" x14ac:dyDescent="0.3">
      <c r="A73" s="6"/>
      <c r="B73">
        <v>13107</v>
      </c>
      <c r="C73" t="s">
        <v>284</v>
      </c>
      <c r="D73" s="7">
        <v>35555</v>
      </c>
      <c r="E73" t="s">
        <v>16</v>
      </c>
      <c r="F73" t="s">
        <v>22</v>
      </c>
      <c r="G73">
        <v>2</v>
      </c>
      <c r="H73">
        <v>2</v>
      </c>
      <c r="I73">
        <v>3</v>
      </c>
      <c r="J73">
        <v>3</v>
      </c>
      <c r="K73" s="6">
        <v>5</v>
      </c>
      <c r="L73">
        <v>3</v>
      </c>
      <c r="M73" t="s">
        <v>23</v>
      </c>
      <c r="N73">
        <v>3</v>
      </c>
      <c r="O73" t="s">
        <v>172</v>
      </c>
    </row>
    <row r="74" spans="1:15" x14ac:dyDescent="0.3">
      <c r="A74" s="6"/>
      <c r="B74" s="6">
        <v>13078</v>
      </c>
      <c r="C74" s="6" t="s">
        <v>127</v>
      </c>
      <c r="D74" s="6" t="s">
        <v>128</v>
      </c>
      <c r="E74" s="6" t="s">
        <v>21</v>
      </c>
      <c r="F74" s="6" t="s">
        <v>17</v>
      </c>
      <c r="G74" s="6">
        <v>2</v>
      </c>
      <c r="H74" s="6">
        <v>2</v>
      </c>
      <c r="I74" s="6">
        <v>5</v>
      </c>
      <c r="J74" s="6">
        <v>4</v>
      </c>
      <c r="K74" s="6">
        <v>2</v>
      </c>
      <c r="L74">
        <v>3</v>
      </c>
      <c r="M74" t="s">
        <v>23</v>
      </c>
      <c r="N74">
        <v>0</v>
      </c>
      <c r="O74" t="s">
        <v>171</v>
      </c>
    </row>
    <row r="75" spans="1:15" x14ac:dyDescent="0.3">
      <c r="A75" s="6"/>
      <c r="B75" s="6">
        <v>13088</v>
      </c>
      <c r="C75" s="6" t="s">
        <v>147</v>
      </c>
      <c r="D75" s="6" t="s">
        <v>148</v>
      </c>
      <c r="E75" s="6" t="s">
        <v>16</v>
      </c>
      <c r="F75" s="6" t="s">
        <v>22</v>
      </c>
      <c r="G75" s="6">
        <v>5</v>
      </c>
      <c r="H75" s="6">
        <v>2</v>
      </c>
      <c r="I75" s="6">
        <v>4</v>
      </c>
      <c r="J75" s="6">
        <v>2</v>
      </c>
      <c r="K75" s="6">
        <v>4</v>
      </c>
      <c r="L75">
        <v>3.4</v>
      </c>
      <c r="M75" t="s">
        <v>23</v>
      </c>
      <c r="N75">
        <v>-1</v>
      </c>
      <c r="O75" t="s">
        <v>171</v>
      </c>
    </row>
    <row r="76" spans="1:15" x14ac:dyDescent="0.3">
      <c r="A76" s="6"/>
      <c r="B76" s="6">
        <v>13046</v>
      </c>
      <c r="C76" s="6" t="s">
        <v>241</v>
      </c>
      <c r="D76" s="6" t="s">
        <v>242</v>
      </c>
      <c r="E76" s="6" t="s">
        <v>16</v>
      </c>
      <c r="F76" s="6" t="s">
        <v>22</v>
      </c>
      <c r="G76" s="6">
        <v>3</v>
      </c>
      <c r="H76" s="6">
        <v>4</v>
      </c>
      <c r="I76" s="6">
        <v>1</v>
      </c>
      <c r="J76" s="6">
        <v>5</v>
      </c>
      <c r="K76" s="6">
        <v>2</v>
      </c>
      <c r="L76">
        <v>3</v>
      </c>
      <c r="M76" t="s">
        <v>23</v>
      </c>
      <c r="N76">
        <v>-1</v>
      </c>
      <c r="O76" t="s">
        <v>171</v>
      </c>
    </row>
    <row r="77" spans="1:15" x14ac:dyDescent="0.3">
      <c r="A77" s="6"/>
      <c r="B77" s="6">
        <v>13074</v>
      </c>
      <c r="C77" s="6" t="s">
        <v>119</v>
      </c>
      <c r="D77" s="6" t="s">
        <v>120</v>
      </c>
      <c r="E77" s="6" t="s">
        <v>16</v>
      </c>
      <c r="F77" s="6" t="s">
        <v>22</v>
      </c>
      <c r="G77" s="6">
        <v>3</v>
      </c>
      <c r="H77" s="6">
        <v>2</v>
      </c>
      <c r="I77" s="6">
        <v>4</v>
      </c>
      <c r="J77" s="6">
        <v>3</v>
      </c>
      <c r="K77" s="6">
        <v>4</v>
      </c>
      <c r="L77">
        <v>3.2</v>
      </c>
      <c r="M77" t="s">
        <v>23</v>
      </c>
      <c r="N77">
        <v>1</v>
      </c>
      <c r="O77" t="s">
        <v>172</v>
      </c>
    </row>
    <row r="78" spans="1:15" x14ac:dyDescent="0.3">
      <c r="A78" s="6"/>
      <c r="B78" s="6">
        <v>13053</v>
      </c>
      <c r="C78" s="6" t="s">
        <v>255</v>
      </c>
      <c r="D78" s="6" t="s">
        <v>256</v>
      </c>
      <c r="E78" s="6" t="s">
        <v>16</v>
      </c>
      <c r="F78" s="6" t="s">
        <v>17</v>
      </c>
      <c r="G78" s="6">
        <v>2</v>
      </c>
      <c r="H78" s="6">
        <v>3</v>
      </c>
      <c r="I78" s="6">
        <v>4</v>
      </c>
      <c r="J78" s="6">
        <v>3</v>
      </c>
      <c r="K78" s="6">
        <v>3</v>
      </c>
      <c r="L78">
        <v>3</v>
      </c>
      <c r="M78" t="s">
        <v>23</v>
      </c>
      <c r="N78">
        <v>1</v>
      </c>
      <c r="O78" t="s">
        <v>172</v>
      </c>
    </row>
    <row r="79" spans="1:15" x14ac:dyDescent="0.3">
      <c r="A79" s="6"/>
      <c r="B79" s="6">
        <v>13056</v>
      </c>
      <c r="C79" s="6" t="s">
        <v>261</v>
      </c>
      <c r="D79" s="6" t="s">
        <v>262</v>
      </c>
      <c r="E79" s="6" t="s">
        <v>16</v>
      </c>
      <c r="F79" s="6" t="s">
        <v>22</v>
      </c>
      <c r="G79" s="6">
        <v>3</v>
      </c>
      <c r="H79" s="6">
        <v>5</v>
      </c>
      <c r="I79" s="6">
        <v>1</v>
      </c>
      <c r="J79" s="6">
        <v>4</v>
      </c>
      <c r="K79" s="6">
        <v>2</v>
      </c>
      <c r="L79">
        <v>3</v>
      </c>
      <c r="M79" t="s">
        <v>23</v>
      </c>
      <c r="N79">
        <v>-1</v>
      </c>
      <c r="O79" t="s">
        <v>171</v>
      </c>
    </row>
    <row r="80" spans="1:15" x14ac:dyDescent="0.3">
      <c r="A80" s="6"/>
      <c r="B80" s="6">
        <v>13073</v>
      </c>
      <c r="C80" s="6" t="s">
        <v>117</v>
      </c>
      <c r="D80" s="6" t="s">
        <v>118</v>
      </c>
      <c r="E80" s="6" t="s">
        <v>21</v>
      </c>
      <c r="F80" s="6" t="s">
        <v>22</v>
      </c>
      <c r="G80" s="6">
        <v>5</v>
      </c>
      <c r="H80" s="6">
        <v>2</v>
      </c>
      <c r="I80" s="6">
        <v>4</v>
      </c>
      <c r="J80" s="6">
        <v>2</v>
      </c>
      <c r="K80" s="6">
        <v>2</v>
      </c>
      <c r="L80">
        <v>3</v>
      </c>
      <c r="M80" t="s">
        <v>23</v>
      </c>
      <c r="N80">
        <v>-3</v>
      </c>
      <c r="O80" t="s">
        <v>171</v>
      </c>
    </row>
    <row r="81" spans="1:20" x14ac:dyDescent="0.3">
      <c r="A81" s="6"/>
      <c r="B81">
        <v>13099</v>
      </c>
      <c r="C81" t="s">
        <v>169</v>
      </c>
      <c r="D81" s="6" t="s">
        <v>170</v>
      </c>
      <c r="E81" s="6" t="s">
        <v>16</v>
      </c>
      <c r="F81" s="6" t="s">
        <v>22</v>
      </c>
      <c r="G81" s="6">
        <v>2</v>
      </c>
      <c r="H81" s="6">
        <v>2</v>
      </c>
      <c r="I81" s="6">
        <v>2</v>
      </c>
      <c r="J81" s="6">
        <v>4</v>
      </c>
      <c r="K81" s="6">
        <v>5</v>
      </c>
      <c r="L81">
        <v>3</v>
      </c>
      <c r="M81" t="s">
        <v>23</v>
      </c>
      <c r="N81">
        <v>3</v>
      </c>
      <c r="O81" t="s">
        <v>172</v>
      </c>
    </row>
    <row r="82" spans="1:20" x14ac:dyDescent="0.3">
      <c r="A82" s="6"/>
      <c r="B82" s="6">
        <v>13080</v>
      </c>
      <c r="C82" s="6" t="s">
        <v>131</v>
      </c>
      <c r="D82" s="6" t="s">
        <v>132</v>
      </c>
      <c r="E82" s="6" t="s">
        <v>16</v>
      </c>
      <c r="F82" s="6" t="s">
        <v>17</v>
      </c>
      <c r="G82" s="6">
        <v>5</v>
      </c>
      <c r="H82" s="6">
        <v>4</v>
      </c>
      <c r="I82" s="6">
        <v>5</v>
      </c>
      <c r="J82" s="6">
        <v>4</v>
      </c>
      <c r="K82" s="6">
        <v>5</v>
      </c>
      <c r="L82">
        <v>4.5999999999999996</v>
      </c>
      <c r="M82" t="s">
        <v>26</v>
      </c>
      <c r="N82">
        <v>0</v>
      </c>
      <c r="O82" t="s">
        <v>171</v>
      </c>
    </row>
    <row r="83" spans="1:20" x14ac:dyDescent="0.3">
      <c r="A83" s="6"/>
      <c r="B83" s="6">
        <v>13066</v>
      </c>
      <c r="C83" s="6" t="s">
        <v>103</v>
      </c>
      <c r="D83" s="6" t="s">
        <v>104</v>
      </c>
      <c r="E83" s="6" t="s">
        <v>16</v>
      </c>
      <c r="F83" s="6" t="s">
        <v>17</v>
      </c>
      <c r="G83" s="6">
        <v>2</v>
      </c>
      <c r="H83" s="6">
        <v>2</v>
      </c>
      <c r="I83" s="6">
        <v>4</v>
      </c>
      <c r="J83" s="6">
        <v>5</v>
      </c>
      <c r="K83" s="6">
        <v>3</v>
      </c>
      <c r="L83">
        <v>3.2</v>
      </c>
      <c r="M83" t="s">
        <v>23</v>
      </c>
      <c r="N83">
        <v>1</v>
      </c>
      <c r="O83" t="s">
        <v>172</v>
      </c>
    </row>
    <row r="84" spans="1:20" x14ac:dyDescent="0.3">
      <c r="A84" s="6"/>
      <c r="B84">
        <v>13103</v>
      </c>
      <c r="C84" t="s">
        <v>280</v>
      </c>
      <c r="D84" s="7">
        <v>34929</v>
      </c>
      <c r="E84" t="s">
        <v>16</v>
      </c>
      <c r="F84" t="s">
        <v>22</v>
      </c>
      <c r="G84">
        <v>2</v>
      </c>
      <c r="H84">
        <v>3</v>
      </c>
      <c r="I84">
        <v>4</v>
      </c>
      <c r="J84">
        <v>2</v>
      </c>
      <c r="K84" s="6">
        <v>2</v>
      </c>
      <c r="L84">
        <v>2.6</v>
      </c>
      <c r="M84" t="s">
        <v>18</v>
      </c>
      <c r="N84">
        <v>0</v>
      </c>
      <c r="O84" t="s">
        <v>171</v>
      </c>
    </row>
    <row r="85" spans="1:20" x14ac:dyDescent="0.3">
      <c r="A85" s="6"/>
      <c r="B85">
        <v>13113</v>
      </c>
      <c r="C85" t="s">
        <v>280</v>
      </c>
      <c r="D85" s="7" t="s">
        <v>290</v>
      </c>
      <c r="E85" t="s">
        <v>21</v>
      </c>
      <c r="F85" t="s">
        <v>22</v>
      </c>
      <c r="G85">
        <v>3</v>
      </c>
      <c r="H85">
        <v>5</v>
      </c>
      <c r="I85">
        <v>2</v>
      </c>
      <c r="J85">
        <v>5</v>
      </c>
      <c r="K85" s="6">
        <v>4</v>
      </c>
      <c r="L85">
        <v>3.8</v>
      </c>
      <c r="M85" t="s">
        <v>23</v>
      </c>
      <c r="N85">
        <v>1</v>
      </c>
      <c r="O85" t="s">
        <v>172</v>
      </c>
    </row>
    <row r="86" spans="1:20" x14ac:dyDescent="0.3">
      <c r="A86" s="6"/>
      <c r="B86" s="6">
        <v>13038</v>
      </c>
      <c r="C86" s="6" t="s">
        <v>225</v>
      </c>
      <c r="D86" s="6" t="s">
        <v>226</v>
      </c>
      <c r="E86" s="6" t="s">
        <v>16</v>
      </c>
      <c r="F86" s="6" t="s">
        <v>22</v>
      </c>
      <c r="G86" s="6">
        <v>2</v>
      </c>
      <c r="H86" s="6">
        <v>3</v>
      </c>
      <c r="I86" s="6">
        <v>2</v>
      </c>
      <c r="J86" s="6">
        <v>5</v>
      </c>
      <c r="K86" s="6">
        <v>2</v>
      </c>
      <c r="L86">
        <v>2.8</v>
      </c>
      <c r="M86" t="s">
        <v>18</v>
      </c>
      <c r="N86">
        <v>0</v>
      </c>
      <c r="O86" t="s">
        <v>171</v>
      </c>
    </row>
    <row r="87" spans="1:20" x14ac:dyDescent="0.3">
      <c r="A87" s="6"/>
      <c r="B87" s="6">
        <v>13044</v>
      </c>
      <c r="C87" s="6" t="s">
        <v>237</v>
      </c>
      <c r="D87" s="6" t="s">
        <v>238</v>
      </c>
      <c r="E87" s="6" t="s">
        <v>16</v>
      </c>
      <c r="F87" s="6" t="s">
        <v>22</v>
      </c>
      <c r="G87" s="6">
        <v>4</v>
      </c>
      <c r="H87" s="6">
        <v>2</v>
      </c>
      <c r="I87" s="6">
        <v>5</v>
      </c>
      <c r="J87" s="6">
        <v>5</v>
      </c>
      <c r="K87" s="6">
        <v>4</v>
      </c>
      <c r="L87">
        <v>4</v>
      </c>
      <c r="M87" t="s">
        <v>26</v>
      </c>
      <c r="N87">
        <v>0</v>
      </c>
      <c r="O87" t="s">
        <v>171</v>
      </c>
    </row>
    <row r="88" spans="1:20" x14ac:dyDescent="0.3">
      <c r="A88" s="6"/>
      <c r="B88" s="6">
        <v>13081</v>
      </c>
      <c r="C88" s="6" t="s">
        <v>133</v>
      </c>
      <c r="D88" s="6" t="s">
        <v>134</v>
      </c>
      <c r="E88" s="6" t="s">
        <v>21</v>
      </c>
      <c r="F88" s="6" t="s">
        <v>17</v>
      </c>
      <c r="G88" s="6">
        <v>2</v>
      </c>
      <c r="H88" s="6">
        <v>3</v>
      </c>
      <c r="I88" s="6">
        <v>4</v>
      </c>
      <c r="J88" s="6">
        <v>5</v>
      </c>
      <c r="K88" s="6">
        <v>5</v>
      </c>
      <c r="L88">
        <v>3.8</v>
      </c>
      <c r="M88" t="s">
        <v>23</v>
      </c>
      <c r="N88">
        <v>3</v>
      </c>
      <c r="O88" t="s">
        <v>172</v>
      </c>
    </row>
    <row r="89" spans="1:20" x14ac:dyDescent="0.3">
      <c r="A89" s="6"/>
      <c r="B89">
        <v>13108</v>
      </c>
      <c r="C89" t="s">
        <v>285</v>
      </c>
      <c r="D89" s="7">
        <v>32221</v>
      </c>
      <c r="E89" t="s">
        <v>21</v>
      </c>
      <c r="F89" t="s">
        <v>17</v>
      </c>
      <c r="G89">
        <v>4</v>
      </c>
      <c r="H89">
        <v>5</v>
      </c>
      <c r="I89">
        <v>4</v>
      </c>
      <c r="J89">
        <v>4</v>
      </c>
      <c r="K89" s="6">
        <v>3</v>
      </c>
      <c r="L89">
        <v>4</v>
      </c>
      <c r="M89" t="s">
        <v>26</v>
      </c>
      <c r="N89">
        <v>-1</v>
      </c>
      <c r="O89" t="s">
        <v>171</v>
      </c>
    </row>
    <row r="90" spans="1:20" x14ac:dyDescent="0.3">
      <c r="A90" s="6"/>
      <c r="B90" s="6">
        <v>13035</v>
      </c>
      <c r="C90" s="6" t="s">
        <v>219</v>
      </c>
      <c r="D90" s="6" t="s">
        <v>220</v>
      </c>
      <c r="E90" s="6" t="s">
        <v>21</v>
      </c>
      <c r="F90" s="6" t="s">
        <v>17</v>
      </c>
      <c r="G90" s="6">
        <v>5</v>
      </c>
      <c r="H90" s="6">
        <v>3</v>
      </c>
      <c r="I90" s="6">
        <v>4</v>
      </c>
      <c r="J90" s="6">
        <v>2</v>
      </c>
      <c r="K90" s="6">
        <v>4</v>
      </c>
      <c r="L90">
        <v>3.6</v>
      </c>
      <c r="M90" t="s">
        <v>23</v>
      </c>
      <c r="N90">
        <v>-1</v>
      </c>
      <c r="O90" t="s">
        <v>171</v>
      </c>
    </row>
    <row r="91" spans="1:20" x14ac:dyDescent="0.3">
      <c r="A91" s="6"/>
      <c r="B91" s="6">
        <v>13041</v>
      </c>
      <c r="C91" s="6" t="s">
        <v>231</v>
      </c>
      <c r="D91" s="6" t="s">
        <v>232</v>
      </c>
      <c r="E91" s="6" t="s">
        <v>21</v>
      </c>
      <c r="F91" s="6" t="s">
        <v>17</v>
      </c>
      <c r="G91" s="6">
        <v>5</v>
      </c>
      <c r="H91" s="6">
        <v>2</v>
      </c>
      <c r="I91" s="6">
        <v>4</v>
      </c>
      <c r="J91" s="6">
        <v>3</v>
      </c>
      <c r="K91" s="6">
        <v>4</v>
      </c>
      <c r="L91">
        <v>3.6</v>
      </c>
      <c r="M91" t="s">
        <v>23</v>
      </c>
      <c r="N91">
        <v>-1</v>
      </c>
      <c r="O91" t="s">
        <v>171</v>
      </c>
    </row>
    <row r="92" spans="1:20" x14ac:dyDescent="0.3">
      <c r="A92" s="6"/>
      <c r="B92">
        <v>13097</v>
      </c>
      <c r="C92" t="s">
        <v>165</v>
      </c>
      <c r="D92" s="6" t="s">
        <v>166</v>
      </c>
      <c r="E92" s="6" t="s">
        <v>16</v>
      </c>
      <c r="F92" s="6" t="s">
        <v>22</v>
      </c>
      <c r="G92" s="6">
        <v>4</v>
      </c>
      <c r="H92" s="6">
        <v>4</v>
      </c>
      <c r="I92" s="6">
        <v>5</v>
      </c>
      <c r="J92" s="6">
        <v>2</v>
      </c>
      <c r="K92" s="6">
        <v>3</v>
      </c>
      <c r="L92">
        <v>3.6</v>
      </c>
      <c r="M92" t="s">
        <v>23</v>
      </c>
      <c r="N92">
        <v>-1</v>
      </c>
      <c r="O92" t="s">
        <v>171</v>
      </c>
    </row>
    <row r="93" spans="1:20" x14ac:dyDescent="0.3">
      <c r="A93" s="6"/>
      <c r="B93">
        <v>13109</v>
      </c>
      <c r="C93" t="s">
        <v>286</v>
      </c>
      <c r="D93" s="7">
        <v>34666</v>
      </c>
      <c r="E93" t="s">
        <v>16</v>
      </c>
      <c r="F93" t="s">
        <v>22</v>
      </c>
      <c r="G93">
        <v>3</v>
      </c>
      <c r="H93">
        <v>4</v>
      </c>
      <c r="I93">
        <v>5</v>
      </c>
      <c r="J93">
        <v>3</v>
      </c>
      <c r="K93" s="6">
        <v>5</v>
      </c>
      <c r="L93">
        <v>4</v>
      </c>
      <c r="M93" t="s">
        <v>26</v>
      </c>
      <c r="N93">
        <v>2</v>
      </c>
      <c r="O93" t="s">
        <v>172</v>
      </c>
    </row>
    <row r="94" spans="1:20" x14ac:dyDescent="0.3">
      <c r="A94" s="6"/>
      <c r="B94" s="6">
        <v>13072</v>
      </c>
      <c r="C94" s="6" t="s">
        <v>115</v>
      </c>
      <c r="D94" s="6" t="s">
        <v>116</v>
      </c>
      <c r="E94" s="6" t="s">
        <v>21</v>
      </c>
      <c r="F94" s="6" t="s">
        <v>22</v>
      </c>
      <c r="G94" s="6">
        <v>2</v>
      </c>
      <c r="H94" s="6">
        <v>3</v>
      </c>
      <c r="I94" s="6">
        <v>5</v>
      </c>
      <c r="J94" s="6">
        <v>2</v>
      </c>
      <c r="K94" s="6">
        <v>4</v>
      </c>
      <c r="L94">
        <v>3.2</v>
      </c>
      <c r="M94" t="s">
        <v>23</v>
      </c>
      <c r="N94">
        <v>2</v>
      </c>
      <c r="O94" t="s">
        <v>172</v>
      </c>
    </row>
    <row r="95" spans="1:20" x14ac:dyDescent="0.3">
      <c r="A95" s="6"/>
      <c r="B95" s="6">
        <v>13060</v>
      </c>
      <c r="C95" s="6" t="s">
        <v>269</v>
      </c>
      <c r="D95" s="6" t="s">
        <v>270</v>
      </c>
      <c r="E95" s="6" t="s">
        <v>16</v>
      </c>
      <c r="F95" s="6" t="s">
        <v>22</v>
      </c>
      <c r="G95" s="6">
        <v>5</v>
      </c>
      <c r="H95" s="6">
        <v>5</v>
      </c>
      <c r="I95" s="6">
        <v>2</v>
      </c>
      <c r="J95" s="6">
        <v>2</v>
      </c>
      <c r="K95" s="6">
        <v>2</v>
      </c>
      <c r="L95">
        <v>3.2</v>
      </c>
      <c r="M95" t="s">
        <v>23</v>
      </c>
      <c r="N95">
        <v>-3</v>
      </c>
      <c r="O95" t="s">
        <v>171</v>
      </c>
      <c r="R95">
        <v>1</v>
      </c>
      <c r="S95" t="s">
        <v>21</v>
      </c>
      <c r="T95" t="s">
        <v>17</v>
      </c>
    </row>
    <row r="96" spans="1:20" x14ac:dyDescent="0.3">
      <c r="A96" s="6"/>
      <c r="B96" s="6">
        <v>13064</v>
      </c>
      <c r="C96" s="6" t="s">
        <v>100</v>
      </c>
      <c r="D96" s="6" t="s">
        <v>276</v>
      </c>
      <c r="E96" s="6" t="s">
        <v>16</v>
      </c>
      <c r="F96" s="6" t="s">
        <v>22</v>
      </c>
      <c r="G96" s="6">
        <v>5</v>
      </c>
      <c r="H96" s="6">
        <v>4</v>
      </c>
      <c r="I96" s="6">
        <v>2</v>
      </c>
      <c r="J96" s="6">
        <v>5</v>
      </c>
      <c r="K96" s="6">
        <v>2</v>
      </c>
      <c r="L96">
        <v>3.6</v>
      </c>
      <c r="M96" t="s">
        <v>23</v>
      </c>
      <c r="N96">
        <v>-3</v>
      </c>
      <c r="O96" t="s">
        <v>171</v>
      </c>
      <c r="R96">
        <v>2</v>
      </c>
      <c r="S96" t="s">
        <v>16</v>
      </c>
      <c r="T96" t="s">
        <v>22</v>
      </c>
    </row>
    <row r="97" spans="1:15" x14ac:dyDescent="0.3">
      <c r="A97" s="6"/>
      <c r="B97">
        <v>13100</v>
      </c>
      <c r="C97" t="s">
        <v>277</v>
      </c>
      <c r="D97" s="7">
        <v>33770</v>
      </c>
      <c r="E97" t="s">
        <v>21</v>
      </c>
      <c r="F97" t="s">
        <v>17</v>
      </c>
      <c r="G97">
        <v>4</v>
      </c>
      <c r="H97">
        <v>3</v>
      </c>
      <c r="I97">
        <v>5</v>
      </c>
      <c r="J97">
        <v>4</v>
      </c>
      <c r="K97" s="6">
        <v>2</v>
      </c>
      <c r="L97">
        <v>3.6</v>
      </c>
      <c r="M97" t="s">
        <v>23</v>
      </c>
      <c r="N97">
        <v>-2</v>
      </c>
      <c r="O97" t="s">
        <v>171</v>
      </c>
    </row>
    <row r="98" spans="1:15" x14ac:dyDescent="0.3">
      <c r="A98" s="6"/>
      <c r="B98">
        <v>13110</v>
      </c>
      <c r="C98" t="s">
        <v>277</v>
      </c>
      <c r="D98" s="7" t="s">
        <v>287</v>
      </c>
      <c r="E98" t="s">
        <v>21</v>
      </c>
      <c r="F98" t="s">
        <v>17</v>
      </c>
      <c r="G98">
        <v>3</v>
      </c>
      <c r="H98">
        <v>4</v>
      </c>
      <c r="I98">
        <v>3</v>
      </c>
      <c r="J98">
        <v>2</v>
      </c>
      <c r="K98" s="6">
        <v>5</v>
      </c>
      <c r="L98">
        <v>3.4</v>
      </c>
      <c r="M98" t="s">
        <v>23</v>
      </c>
      <c r="N98">
        <v>2</v>
      </c>
      <c r="O98" t="s">
        <v>172</v>
      </c>
    </row>
    <row r="99" spans="1:15" x14ac:dyDescent="0.3">
      <c r="A99" s="6"/>
      <c r="B99" s="6">
        <v>13033</v>
      </c>
      <c r="C99" s="6" t="s">
        <v>215</v>
      </c>
      <c r="D99" s="6" t="s">
        <v>216</v>
      </c>
      <c r="E99" s="6" t="s">
        <v>21</v>
      </c>
      <c r="F99" s="6" t="s">
        <v>17</v>
      </c>
      <c r="G99" s="6">
        <v>3</v>
      </c>
      <c r="H99" s="6">
        <v>4</v>
      </c>
      <c r="I99" s="6">
        <v>5</v>
      </c>
      <c r="J99" s="6">
        <v>3</v>
      </c>
      <c r="K99" s="6">
        <v>2</v>
      </c>
      <c r="L99">
        <v>3.4</v>
      </c>
      <c r="M99" t="s">
        <v>23</v>
      </c>
      <c r="N99">
        <v>-1</v>
      </c>
      <c r="O99" t="s">
        <v>171</v>
      </c>
    </row>
    <row r="100" spans="1:15" x14ac:dyDescent="0.3">
      <c r="A100" s="6"/>
      <c r="B100" s="6">
        <v>13069</v>
      </c>
      <c r="C100" s="6" t="s">
        <v>109</v>
      </c>
      <c r="D100" s="6" t="s">
        <v>110</v>
      </c>
      <c r="E100" s="6" t="s">
        <v>16</v>
      </c>
      <c r="F100" s="6" t="s">
        <v>17</v>
      </c>
      <c r="G100" s="6">
        <v>4</v>
      </c>
      <c r="H100" s="6">
        <v>3</v>
      </c>
      <c r="I100" s="6">
        <v>3</v>
      </c>
      <c r="J100" s="6">
        <v>3</v>
      </c>
      <c r="K100" s="6">
        <v>5</v>
      </c>
      <c r="L100">
        <v>3.6</v>
      </c>
      <c r="M100" t="s">
        <v>23</v>
      </c>
      <c r="N100">
        <v>1</v>
      </c>
      <c r="O100" t="s">
        <v>172</v>
      </c>
    </row>
    <row r="101" spans="1:15" x14ac:dyDescent="0.3">
      <c r="A101" s="6"/>
      <c r="B101" s="6">
        <v>13085</v>
      </c>
      <c r="C101" s="6" t="s">
        <v>141</v>
      </c>
      <c r="D101" s="6" t="s">
        <v>142</v>
      </c>
      <c r="E101" s="6" t="s">
        <v>16</v>
      </c>
      <c r="F101" s="6" t="s">
        <v>17</v>
      </c>
      <c r="G101" s="6">
        <v>3</v>
      </c>
      <c r="H101" s="6">
        <v>5</v>
      </c>
      <c r="I101" s="6">
        <v>2</v>
      </c>
      <c r="J101" s="6">
        <v>4</v>
      </c>
      <c r="K101" s="6">
        <v>4</v>
      </c>
      <c r="L101">
        <v>3.6</v>
      </c>
      <c r="M101" t="s">
        <v>23</v>
      </c>
      <c r="N101">
        <v>1</v>
      </c>
      <c r="O101" t="s">
        <v>172</v>
      </c>
    </row>
    <row r="102" spans="1:15" x14ac:dyDescent="0.3">
      <c r="A102" s="6"/>
      <c r="B102" s="6">
        <v>13076</v>
      </c>
      <c r="C102" s="6" t="s">
        <v>123</v>
      </c>
      <c r="D102" s="6" t="s">
        <v>124</v>
      </c>
      <c r="E102" s="6" t="s">
        <v>21</v>
      </c>
      <c r="F102" s="6" t="s">
        <v>17</v>
      </c>
      <c r="G102" s="6">
        <v>2</v>
      </c>
      <c r="H102" s="6">
        <v>5</v>
      </c>
      <c r="I102" s="6">
        <v>5</v>
      </c>
      <c r="J102" s="6">
        <v>4</v>
      </c>
      <c r="K102" s="6">
        <v>3</v>
      </c>
      <c r="L102">
        <v>3.8</v>
      </c>
      <c r="M102" t="s">
        <v>23</v>
      </c>
      <c r="N102">
        <v>1</v>
      </c>
      <c r="O102" t="s">
        <v>172</v>
      </c>
    </row>
    <row r="103" spans="1:15" x14ac:dyDescent="0.3">
      <c r="A103" s="6"/>
      <c r="B103" s="6">
        <v>13058</v>
      </c>
      <c r="C103" s="6" t="s">
        <v>265</v>
      </c>
      <c r="D103" s="6" t="s">
        <v>266</v>
      </c>
      <c r="E103" s="6" t="s">
        <v>16</v>
      </c>
      <c r="F103" s="6" t="s">
        <v>22</v>
      </c>
      <c r="G103" s="6">
        <v>1</v>
      </c>
      <c r="H103" s="6">
        <v>4</v>
      </c>
      <c r="I103" s="6">
        <v>4</v>
      </c>
      <c r="J103" s="6">
        <v>3</v>
      </c>
      <c r="K103" s="6">
        <v>5</v>
      </c>
      <c r="L103">
        <v>3.4</v>
      </c>
      <c r="M103" t="s">
        <v>23</v>
      </c>
      <c r="N103">
        <v>4</v>
      </c>
      <c r="O103" t="s">
        <v>172</v>
      </c>
    </row>
    <row r="104" spans="1:15" x14ac:dyDescent="0.3">
      <c r="A104" s="6"/>
      <c r="B104">
        <v>13095</v>
      </c>
      <c r="C104" t="s">
        <v>161</v>
      </c>
      <c r="D104" s="6" t="s">
        <v>162</v>
      </c>
      <c r="E104" s="6" t="s">
        <v>16</v>
      </c>
      <c r="F104" s="6" t="s">
        <v>22</v>
      </c>
      <c r="G104" s="6">
        <v>2</v>
      </c>
      <c r="H104" s="6">
        <v>5</v>
      </c>
      <c r="I104" s="6">
        <v>4</v>
      </c>
      <c r="J104" s="6">
        <v>2</v>
      </c>
      <c r="K104" s="6">
        <v>5</v>
      </c>
      <c r="L104">
        <v>3.6</v>
      </c>
      <c r="M104" t="s">
        <v>23</v>
      </c>
      <c r="N104">
        <v>3</v>
      </c>
      <c r="O104" t="s">
        <v>172</v>
      </c>
    </row>
    <row r="105" spans="1:15" x14ac:dyDescent="0.3">
      <c r="A105" s="6"/>
      <c r="B105" s="6">
        <v>13087</v>
      </c>
      <c r="C105" s="6" t="s">
        <v>145</v>
      </c>
      <c r="D105" s="6" t="s">
        <v>146</v>
      </c>
      <c r="E105" s="6" t="s">
        <v>16</v>
      </c>
      <c r="F105" s="6" t="s">
        <v>17</v>
      </c>
      <c r="G105" s="6">
        <v>3</v>
      </c>
      <c r="H105" s="6">
        <v>3</v>
      </c>
      <c r="I105" s="6">
        <v>5</v>
      </c>
      <c r="J105" s="6">
        <v>2</v>
      </c>
      <c r="K105" s="6">
        <v>3</v>
      </c>
      <c r="L105">
        <v>3.2</v>
      </c>
      <c r="M105" t="s">
        <v>23</v>
      </c>
      <c r="N105">
        <v>0</v>
      </c>
      <c r="O105" t="s">
        <v>171</v>
      </c>
    </row>
    <row r="106" spans="1:15" x14ac:dyDescent="0.3">
      <c r="A106" s="6"/>
      <c r="B106" s="6">
        <v>13061</v>
      </c>
      <c r="C106" s="6" t="s">
        <v>271</v>
      </c>
      <c r="D106" s="6" t="s">
        <v>272</v>
      </c>
      <c r="E106" s="6" t="s">
        <v>21</v>
      </c>
      <c r="F106" s="6" t="s">
        <v>17</v>
      </c>
      <c r="G106" s="6">
        <v>4</v>
      </c>
      <c r="H106" s="6">
        <v>1</v>
      </c>
      <c r="I106" s="6">
        <v>5</v>
      </c>
      <c r="J106" s="6">
        <v>4</v>
      </c>
      <c r="K106" s="6">
        <v>2</v>
      </c>
      <c r="L106">
        <v>3.2</v>
      </c>
      <c r="M106" t="s">
        <v>23</v>
      </c>
      <c r="N106">
        <v>-2</v>
      </c>
      <c r="O106" t="s">
        <v>171</v>
      </c>
    </row>
    <row r="107" spans="1:15" x14ac:dyDescent="0.3">
      <c r="A107" s="6"/>
      <c r="B107">
        <v>13102</v>
      </c>
      <c r="C107" t="s">
        <v>279</v>
      </c>
      <c r="D107" s="7">
        <v>31889</v>
      </c>
      <c r="E107" t="s">
        <v>21</v>
      </c>
      <c r="F107" t="s">
        <v>17</v>
      </c>
      <c r="G107">
        <v>3</v>
      </c>
      <c r="H107">
        <v>2</v>
      </c>
      <c r="I107">
        <v>3</v>
      </c>
      <c r="J107">
        <v>3</v>
      </c>
      <c r="K107" s="6">
        <v>2</v>
      </c>
      <c r="L107">
        <v>2.6</v>
      </c>
      <c r="M107" t="s">
        <v>18</v>
      </c>
      <c r="N107">
        <v>-1</v>
      </c>
      <c r="O107" t="s">
        <v>171</v>
      </c>
    </row>
    <row r="108" spans="1:15" x14ac:dyDescent="0.3">
      <c r="A108" s="6"/>
      <c r="B108">
        <v>13112</v>
      </c>
      <c r="C108" t="s">
        <v>279</v>
      </c>
      <c r="D108" s="7" t="s">
        <v>289</v>
      </c>
      <c r="E108" t="s">
        <v>16</v>
      </c>
      <c r="F108" t="s">
        <v>22</v>
      </c>
      <c r="G108">
        <v>4</v>
      </c>
      <c r="H108">
        <v>5</v>
      </c>
      <c r="I108">
        <v>3</v>
      </c>
      <c r="J108">
        <v>5</v>
      </c>
      <c r="K108" s="6">
        <v>4</v>
      </c>
      <c r="L108">
        <v>4.2</v>
      </c>
      <c r="M108" t="s">
        <v>26</v>
      </c>
      <c r="N108">
        <v>0</v>
      </c>
      <c r="O108" t="s">
        <v>171</v>
      </c>
    </row>
    <row r="109" spans="1:15" x14ac:dyDescent="0.3">
      <c r="A109" s="6"/>
      <c r="B109" s="6">
        <v>13037</v>
      </c>
      <c r="C109" s="6" t="s">
        <v>223</v>
      </c>
      <c r="D109" s="6" t="s">
        <v>224</v>
      </c>
      <c r="E109" s="6" t="s">
        <v>21</v>
      </c>
      <c r="F109" s="6" t="s">
        <v>17</v>
      </c>
      <c r="G109" s="6">
        <v>4</v>
      </c>
      <c r="H109" s="6">
        <v>4</v>
      </c>
      <c r="I109" s="6">
        <v>5</v>
      </c>
      <c r="J109" s="6">
        <v>4</v>
      </c>
      <c r="K109" s="6">
        <v>5</v>
      </c>
      <c r="L109">
        <v>4.4000000000000004</v>
      </c>
      <c r="M109" t="s">
        <v>26</v>
      </c>
      <c r="N109">
        <v>1</v>
      </c>
      <c r="O109" t="s">
        <v>172</v>
      </c>
    </row>
    <row r="110" spans="1:15" x14ac:dyDescent="0.3">
      <c r="A110" s="6"/>
      <c r="B110" s="6">
        <v>13065</v>
      </c>
      <c r="C110" s="6" t="s">
        <v>101</v>
      </c>
      <c r="D110" s="6" t="s">
        <v>102</v>
      </c>
      <c r="E110" s="6" t="s">
        <v>21</v>
      </c>
      <c r="F110" s="6" t="s">
        <v>22</v>
      </c>
      <c r="G110" s="6">
        <v>4</v>
      </c>
      <c r="H110" s="6">
        <v>2</v>
      </c>
      <c r="I110" s="6">
        <v>4</v>
      </c>
      <c r="J110" s="6">
        <v>2</v>
      </c>
      <c r="K110" s="6">
        <v>3</v>
      </c>
      <c r="L110">
        <v>3</v>
      </c>
      <c r="M110" t="s">
        <v>23</v>
      </c>
      <c r="N110">
        <v>-1</v>
      </c>
      <c r="O110" t="s">
        <v>171</v>
      </c>
    </row>
    <row r="111" spans="1:15" x14ac:dyDescent="0.3">
      <c r="A111" s="6"/>
      <c r="B111" s="6">
        <v>13083</v>
      </c>
      <c r="C111" s="6" t="s">
        <v>137</v>
      </c>
      <c r="D111" s="6" t="s">
        <v>138</v>
      </c>
      <c r="E111" s="6" t="s">
        <v>21</v>
      </c>
      <c r="F111" s="6" t="s">
        <v>17</v>
      </c>
      <c r="G111" s="6">
        <v>2</v>
      </c>
      <c r="H111" s="6">
        <v>4</v>
      </c>
      <c r="I111" s="6">
        <v>3</v>
      </c>
      <c r="J111" s="6">
        <v>5</v>
      </c>
      <c r="K111" s="6">
        <v>4</v>
      </c>
      <c r="L111">
        <v>3.6</v>
      </c>
      <c r="M111" t="s">
        <v>23</v>
      </c>
      <c r="N111">
        <v>2</v>
      </c>
      <c r="O111" t="s">
        <v>172</v>
      </c>
    </row>
    <row r="112" spans="1:15" x14ac:dyDescent="0.3">
      <c r="A112" s="6"/>
      <c r="B112" s="6">
        <v>13090</v>
      </c>
      <c r="C112" s="6" t="s">
        <v>151</v>
      </c>
      <c r="D112" s="6" t="s">
        <v>152</v>
      </c>
      <c r="E112" s="6" t="s">
        <v>21</v>
      </c>
      <c r="F112" s="6" t="s">
        <v>17</v>
      </c>
      <c r="G112" s="6">
        <v>4</v>
      </c>
      <c r="H112" s="6">
        <v>3</v>
      </c>
      <c r="I112" s="6">
        <v>5</v>
      </c>
      <c r="J112" s="6">
        <v>2</v>
      </c>
      <c r="K112" s="6">
        <v>5</v>
      </c>
      <c r="L112">
        <v>3.8</v>
      </c>
      <c r="M112" t="s">
        <v>23</v>
      </c>
      <c r="N112">
        <v>1</v>
      </c>
      <c r="O112" t="s">
        <v>172</v>
      </c>
    </row>
    <row r="113" spans="1:15" x14ac:dyDescent="0.3">
      <c r="A113" s="6"/>
      <c r="B113" s="6">
        <v>13070</v>
      </c>
      <c r="C113" s="6" t="s">
        <v>111</v>
      </c>
      <c r="D113" s="6" t="s">
        <v>112</v>
      </c>
      <c r="E113" s="6" t="s">
        <v>16</v>
      </c>
      <c r="F113" s="6" t="s">
        <v>17</v>
      </c>
      <c r="G113" s="6">
        <v>4</v>
      </c>
      <c r="H113" s="6">
        <v>3</v>
      </c>
      <c r="I113" s="6">
        <v>2</v>
      </c>
      <c r="J113" s="6">
        <v>4</v>
      </c>
      <c r="K113" s="6">
        <v>2</v>
      </c>
      <c r="L113">
        <v>3</v>
      </c>
      <c r="M113" t="s">
        <v>23</v>
      </c>
      <c r="N113">
        <v>-2</v>
      </c>
      <c r="O113" t="s">
        <v>171</v>
      </c>
    </row>
    <row r="114" spans="1:15" x14ac:dyDescent="0.3">
      <c r="A114" s="6"/>
      <c r="B114">
        <v>13096</v>
      </c>
      <c r="C114" t="s">
        <v>163</v>
      </c>
      <c r="D114" s="6" t="s">
        <v>164</v>
      </c>
      <c r="E114" s="6" t="s">
        <v>21</v>
      </c>
      <c r="F114" s="6" t="s">
        <v>22</v>
      </c>
      <c r="G114" s="6">
        <v>4</v>
      </c>
      <c r="H114" s="6">
        <v>3</v>
      </c>
      <c r="I114" s="6">
        <v>4</v>
      </c>
      <c r="J114" s="6">
        <v>3</v>
      </c>
      <c r="K114" s="6">
        <v>4</v>
      </c>
      <c r="L114">
        <v>3.6</v>
      </c>
      <c r="M114" t="s">
        <v>23</v>
      </c>
      <c r="N114">
        <v>0</v>
      </c>
      <c r="O114" t="s">
        <v>171</v>
      </c>
    </row>
    <row r="115" spans="1:15" x14ac:dyDescent="0.3">
      <c r="A115" s="6"/>
      <c r="B115" s="6">
        <v>13082</v>
      </c>
      <c r="C115" s="6" t="s">
        <v>135</v>
      </c>
      <c r="D115" s="6" t="s">
        <v>136</v>
      </c>
      <c r="E115" s="6" t="s">
        <v>21</v>
      </c>
      <c r="F115" s="6" t="s">
        <v>22</v>
      </c>
      <c r="G115" s="6">
        <v>5</v>
      </c>
      <c r="H115" s="6">
        <v>4</v>
      </c>
      <c r="I115" s="6">
        <v>3</v>
      </c>
      <c r="J115" s="6">
        <v>2</v>
      </c>
      <c r="K115" s="6">
        <v>3</v>
      </c>
      <c r="L115">
        <v>3.4</v>
      </c>
      <c r="M115" t="s">
        <v>23</v>
      </c>
      <c r="N115">
        <v>-2</v>
      </c>
      <c r="O115" t="s">
        <v>171</v>
      </c>
    </row>
    <row r="116" spans="1:15" x14ac:dyDescent="0.3">
      <c r="A116" s="6"/>
      <c r="B116">
        <v>13105</v>
      </c>
      <c r="C116" t="s">
        <v>282</v>
      </c>
      <c r="D116" s="7">
        <v>34329</v>
      </c>
      <c r="E116" t="s">
        <v>16</v>
      </c>
      <c r="F116" t="s">
        <v>22</v>
      </c>
      <c r="G116">
        <v>4</v>
      </c>
      <c r="H116">
        <v>4</v>
      </c>
      <c r="I116">
        <v>4</v>
      </c>
      <c r="J116">
        <v>3</v>
      </c>
      <c r="K116" s="6">
        <v>2</v>
      </c>
      <c r="L116">
        <v>3.4</v>
      </c>
      <c r="M116" t="s">
        <v>23</v>
      </c>
      <c r="N116">
        <v>-2</v>
      </c>
      <c r="O116" t="s">
        <v>171</v>
      </c>
    </row>
    <row r="117" spans="1:15" x14ac:dyDescent="0.3">
      <c r="A117" s="6"/>
      <c r="B117">
        <v>13115</v>
      </c>
      <c r="C117" t="s">
        <v>282</v>
      </c>
      <c r="D117" s="7" t="s">
        <v>292</v>
      </c>
      <c r="E117" t="s">
        <v>21</v>
      </c>
      <c r="F117" t="s">
        <v>17</v>
      </c>
      <c r="G117">
        <v>4</v>
      </c>
      <c r="H117">
        <v>4</v>
      </c>
      <c r="I117">
        <v>4</v>
      </c>
      <c r="J117">
        <v>2</v>
      </c>
      <c r="K117" s="6">
        <v>4</v>
      </c>
      <c r="L117">
        <v>3.6</v>
      </c>
      <c r="M117" t="s">
        <v>23</v>
      </c>
      <c r="N117">
        <v>0</v>
      </c>
      <c r="O117" t="s">
        <v>171</v>
      </c>
    </row>
    <row r="118" spans="1:15" ht="19.2" customHeight="1" x14ac:dyDescent="0.3">
      <c r="A118" s="6"/>
      <c r="B118" s="6">
        <v>13047</v>
      </c>
      <c r="C118" s="6" t="s">
        <v>243</v>
      </c>
      <c r="D118" s="6" t="s">
        <v>244</v>
      </c>
      <c r="E118" s="6" t="s">
        <v>21</v>
      </c>
      <c r="F118" s="6" t="s">
        <v>17</v>
      </c>
      <c r="G118" s="6">
        <v>4</v>
      </c>
      <c r="H118" s="6">
        <v>5</v>
      </c>
      <c r="I118" s="6">
        <v>3</v>
      </c>
      <c r="J118" s="6">
        <v>2</v>
      </c>
      <c r="K118" s="6">
        <v>2</v>
      </c>
      <c r="L118">
        <v>3.2</v>
      </c>
      <c r="M118" t="s">
        <v>23</v>
      </c>
      <c r="N118">
        <v>-2</v>
      </c>
      <c r="O118" t="s">
        <v>171</v>
      </c>
    </row>
    <row r="119" spans="1:15" x14ac:dyDescent="0.3">
      <c r="A119" s="6"/>
      <c r="B119" s="6">
        <v>13034</v>
      </c>
      <c r="C119" s="6" t="s">
        <v>217</v>
      </c>
      <c r="D119" s="6" t="s">
        <v>218</v>
      </c>
      <c r="E119" s="6" t="s">
        <v>16</v>
      </c>
      <c r="F119" s="6" t="s">
        <v>22</v>
      </c>
      <c r="G119" s="6">
        <v>4</v>
      </c>
      <c r="H119" s="6">
        <v>5</v>
      </c>
      <c r="I119" s="6">
        <v>3</v>
      </c>
      <c r="J119" s="6">
        <v>4</v>
      </c>
      <c r="K119" s="6">
        <v>5</v>
      </c>
      <c r="L119">
        <v>4.2</v>
      </c>
      <c r="M119" t="s">
        <v>26</v>
      </c>
      <c r="N119">
        <v>1</v>
      </c>
      <c r="O119" t="s">
        <v>172</v>
      </c>
    </row>
    <row r="120" spans="1:15" x14ac:dyDescent="0.3">
      <c r="A120" s="6"/>
      <c r="B120">
        <v>13098</v>
      </c>
      <c r="C120" t="s">
        <v>167</v>
      </c>
      <c r="D120" s="6" t="s">
        <v>168</v>
      </c>
      <c r="E120" s="6" t="s">
        <v>21</v>
      </c>
      <c r="F120" s="6" t="s">
        <v>17</v>
      </c>
      <c r="G120" s="6">
        <v>3</v>
      </c>
      <c r="H120" s="6">
        <v>4</v>
      </c>
      <c r="I120" s="6">
        <v>4</v>
      </c>
      <c r="J120" s="6">
        <v>3</v>
      </c>
      <c r="K120" s="6">
        <v>3</v>
      </c>
      <c r="L120">
        <v>3.4</v>
      </c>
      <c r="M120" t="s">
        <v>23</v>
      </c>
      <c r="N120">
        <v>0</v>
      </c>
      <c r="O120" t="s">
        <v>171</v>
      </c>
    </row>
    <row r="121" spans="1:15" ht="15.6" customHeight="1" x14ac:dyDescent="0.3">
      <c r="A121" s="6"/>
      <c r="B121" s="6">
        <v>13084</v>
      </c>
      <c r="C121" s="6" t="s">
        <v>139</v>
      </c>
      <c r="D121" s="6" t="s">
        <v>140</v>
      </c>
      <c r="E121" s="6" t="s">
        <v>16</v>
      </c>
      <c r="F121" s="6" t="s">
        <v>22</v>
      </c>
      <c r="G121" s="6">
        <v>4</v>
      </c>
      <c r="H121" s="6">
        <v>3</v>
      </c>
      <c r="I121" s="6">
        <v>4</v>
      </c>
      <c r="J121" s="6">
        <v>4</v>
      </c>
      <c r="K121" s="6">
        <v>2</v>
      </c>
      <c r="L121">
        <v>3.4</v>
      </c>
      <c r="M121" t="s">
        <v>23</v>
      </c>
      <c r="N121">
        <v>-2</v>
      </c>
      <c r="O121" t="s">
        <v>171</v>
      </c>
    </row>
    <row r="122" spans="1:15" x14ac:dyDescent="0.3">
      <c r="A122" s="6"/>
      <c r="B122" s="6">
        <v>13042</v>
      </c>
      <c r="C122" s="6" t="s">
        <v>233</v>
      </c>
      <c r="D122" s="6" t="s">
        <v>234</v>
      </c>
      <c r="E122" s="6" t="s">
        <v>16</v>
      </c>
      <c r="F122" s="6" t="s">
        <v>22</v>
      </c>
      <c r="G122" s="6">
        <v>4</v>
      </c>
      <c r="H122" s="6">
        <v>4</v>
      </c>
      <c r="I122" s="6">
        <v>4</v>
      </c>
      <c r="J122" s="6">
        <v>5</v>
      </c>
      <c r="K122" s="6">
        <v>5</v>
      </c>
      <c r="L122">
        <v>4.4000000000000004</v>
      </c>
      <c r="M122" t="s">
        <v>26</v>
      </c>
      <c r="N122">
        <v>1</v>
      </c>
      <c r="O122" t="s">
        <v>172</v>
      </c>
    </row>
    <row r="123" spans="1:15" x14ac:dyDescent="0.3">
      <c r="B123" s="6">
        <v>13050</v>
      </c>
      <c r="C123" s="6" t="s">
        <v>249</v>
      </c>
      <c r="D123" s="6" t="s">
        <v>250</v>
      </c>
      <c r="E123" s="6" t="s">
        <v>16</v>
      </c>
      <c r="F123" s="6" t="s">
        <v>22</v>
      </c>
      <c r="G123" s="6">
        <v>1</v>
      </c>
      <c r="H123" s="6">
        <v>3</v>
      </c>
      <c r="I123" s="6">
        <v>5</v>
      </c>
      <c r="J123" s="6">
        <v>4</v>
      </c>
      <c r="K123" s="6">
        <v>4</v>
      </c>
      <c r="L123">
        <v>3.4</v>
      </c>
      <c r="M123" t="s">
        <v>23</v>
      </c>
      <c r="N123">
        <v>3</v>
      </c>
      <c r="O123" t="s">
        <v>172</v>
      </c>
    </row>
    <row r="124" spans="1:15" ht="15" customHeight="1" x14ac:dyDescent="0.3">
      <c r="B124" s="6">
        <v>13068</v>
      </c>
      <c r="C124" s="6" t="s">
        <v>107</v>
      </c>
      <c r="D124" s="6" t="s">
        <v>108</v>
      </c>
      <c r="E124" s="6" t="s">
        <v>21</v>
      </c>
      <c r="F124" s="6" t="s">
        <v>22</v>
      </c>
      <c r="G124" s="6">
        <v>4</v>
      </c>
      <c r="H124" s="6">
        <v>2</v>
      </c>
      <c r="I124" s="6">
        <v>3</v>
      </c>
      <c r="J124" s="6">
        <v>3</v>
      </c>
      <c r="K124" s="6">
        <v>3</v>
      </c>
      <c r="L124">
        <v>3</v>
      </c>
      <c r="M124" t="s">
        <v>23</v>
      </c>
      <c r="N124">
        <v>-1</v>
      </c>
      <c r="O124" t="s">
        <v>171</v>
      </c>
    </row>
    <row r="125" spans="1:15" x14ac:dyDescent="0.3">
      <c r="B125" s="6">
        <v>13054</v>
      </c>
      <c r="C125" s="6" t="s">
        <v>257</v>
      </c>
      <c r="D125" s="6" t="s">
        <v>258</v>
      </c>
      <c r="E125" s="6" t="s">
        <v>21</v>
      </c>
      <c r="F125" s="6" t="s">
        <v>22</v>
      </c>
      <c r="G125" s="6">
        <v>3</v>
      </c>
      <c r="H125" s="6">
        <v>2</v>
      </c>
      <c r="I125" s="6">
        <v>5</v>
      </c>
      <c r="J125" s="6">
        <v>4</v>
      </c>
      <c r="K125" s="6">
        <v>3</v>
      </c>
      <c r="L125">
        <v>3.4</v>
      </c>
      <c r="M125" t="s">
        <v>23</v>
      </c>
      <c r="N125">
        <v>0</v>
      </c>
      <c r="O125" t="s">
        <v>171</v>
      </c>
    </row>
    <row r="126" spans="1:15" x14ac:dyDescent="0.3">
      <c r="B126" s="6">
        <v>13079</v>
      </c>
      <c r="C126" s="6" t="s">
        <v>129</v>
      </c>
      <c r="D126" s="6" t="s">
        <v>130</v>
      </c>
      <c r="E126" s="6" t="s">
        <v>21</v>
      </c>
      <c r="F126" s="6" t="s">
        <v>22</v>
      </c>
      <c r="G126" s="6">
        <v>4</v>
      </c>
      <c r="H126" s="6">
        <v>4</v>
      </c>
      <c r="I126" s="6">
        <v>2</v>
      </c>
      <c r="J126" s="6">
        <v>3</v>
      </c>
      <c r="K126" s="6">
        <v>5</v>
      </c>
      <c r="L126">
        <v>3.6</v>
      </c>
      <c r="M126" t="s">
        <v>23</v>
      </c>
      <c r="N126">
        <v>1</v>
      </c>
      <c r="O126" t="s">
        <v>172</v>
      </c>
    </row>
    <row r="127" spans="1:15" x14ac:dyDescent="0.3">
      <c r="B127" s="6">
        <v>13040</v>
      </c>
      <c r="C127" s="6" t="s">
        <v>229</v>
      </c>
      <c r="D127" s="6" t="s">
        <v>230</v>
      </c>
      <c r="E127" s="6" t="s">
        <v>16</v>
      </c>
      <c r="F127" s="6" t="s">
        <v>22</v>
      </c>
      <c r="G127" s="6">
        <v>3</v>
      </c>
      <c r="H127" s="6">
        <v>3</v>
      </c>
      <c r="I127" s="6">
        <v>3</v>
      </c>
      <c r="J127" s="6">
        <v>4</v>
      </c>
      <c r="K127" s="6">
        <v>2</v>
      </c>
      <c r="L127">
        <v>3</v>
      </c>
      <c r="M127" t="s">
        <v>23</v>
      </c>
      <c r="N127">
        <v>-1</v>
      </c>
      <c r="O127" t="s">
        <v>171</v>
      </c>
    </row>
    <row r="128" spans="1:15" x14ac:dyDescent="0.3">
      <c r="B128" s="6">
        <v>13049</v>
      </c>
      <c r="C128" s="6" t="s">
        <v>247</v>
      </c>
      <c r="D128" s="6" t="s">
        <v>248</v>
      </c>
      <c r="E128" s="6" t="s">
        <v>21</v>
      </c>
      <c r="F128" s="6" t="s">
        <v>17</v>
      </c>
      <c r="G128" s="6">
        <v>5</v>
      </c>
      <c r="H128" s="6">
        <v>5</v>
      </c>
      <c r="I128" s="6">
        <v>2</v>
      </c>
      <c r="J128" s="6">
        <v>3</v>
      </c>
      <c r="K128" s="6">
        <v>5</v>
      </c>
      <c r="L128">
        <v>4</v>
      </c>
      <c r="M128" t="s">
        <v>26</v>
      </c>
      <c r="N128">
        <v>0</v>
      </c>
      <c r="O128" t="s">
        <v>171</v>
      </c>
    </row>
    <row r="129" spans="2:15" x14ac:dyDescent="0.3">
      <c r="B129">
        <v>13104</v>
      </c>
      <c r="C129" t="s">
        <v>281</v>
      </c>
      <c r="D129" s="7">
        <v>32907</v>
      </c>
      <c r="E129" t="s">
        <v>21</v>
      </c>
      <c r="F129" t="s">
        <v>17</v>
      </c>
      <c r="G129">
        <v>3</v>
      </c>
      <c r="H129">
        <v>5</v>
      </c>
      <c r="I129">
        <v>5</v>
      </c>
      <c r="J129">
        <v>4</v>
      </c>
      <c r="K129" s="6">
        <v>2</v>
      </c>
      <c r="L129">
        <v>3.8</v>
      </c>
      <c r="M129" t="s">
        <v>23</v>
      </c>
      <c r="N129">
        <v>-1</v>
      </c>
      <c r="O129" t="s">
        <v>171</v>
      </c>
    </row>
    <row r="130" spans="2:15" x14ac:dyDescent="0.3">
      <c r="B130">
        <v>13114</v>
      </c>
      <c r="C130" t="s">
        <v>281</v>
      </c>
      <c r="D130" s="7" t="s">
        <v>291</v>
      </c>
      <c r="E130" t="s">
        <v>21</v>
      </c>
      <c r="F130" t="s">
        <v>17</v>
      </c>
      <c r="G130">
        <v>2</v>
      </c>
      <c r="H130">
        <v>4</v>
      </c>
      <c r="I130">
        <v>3</v>
      </c>
      <c r="J130">
        <v>3</v>
      </c>
      <c r="K130" s="6">
        <v>4</v>
      </c>
      <c r="L130">
        <v>3.2</v>
      </c>
      <c r="M130" t="s">
        <v>23</v>
      </c>
      <c r="N130">
        <v>2</v>
      </c>
      <c r="O130" t="s">
        <v>172</v>
      </c>
    </row>
    <row r="131" spans="2:15" x14ac:dyDescent="0.3">
      <c r="B131" s="6">
        <v>13089</v>
      </c>
      <c r="C131" s="6" t="s">
        <v>149</v>
      </c>
      <c r="D131" s="6" t="s">
        <v>150</v>
      </c>
      <c r="E131" s="6" t="s">
        <v>16</v>
      </c>
      <c r="F131" s="6" t="s">
        <v>22</v>
      </c>
      <c r="G131" s="6">
        <v>5</v>
      </c>
      <c r="H131" s="6">
        <v>3</v>
      </c>
      <c r="I131" s="6">
        <v>2</v>
      </c>
      <c r="J131" s="6">
        <v>5</v>
      </c>
      <c r="K131" s="6">
        <v>2</v>
      </c>
      <c r="L131">
        <v>3.4</v>
      </c>
      <c r="M131" t="s">
        <v>23</v>
      </c>
      <c r="N131">
        <v>-3</v>
      </c>
      <c r="O131" t="s">
        <v>171</v>
      </c>
    </row>
    <row r="132" spans="2:15" x14ac:dyDescent="0.3">
      <c r="B132">
        <v>13092</v>
      </c>
      <c r="C132" t="s">
        <v>155</v>
      </c>
      <c r="D132" s="6" t="s">
        <v>156</v>
      </c>
      <c r="E132" s="6" t="s">
        <v>16</v>
      </c>
      <c r="F132" s="6" t="s">
        <v>17</v>
      </c>
      <c r="G132" s="6">
        <v>2</v>
      </c>
      <c r="H132" s="6">
        <v>4</v>
      </c>
      <c r="I132" s="6">
        <v>4</v>
      </c>
      <c r="J132" s="6">
        <v>2</v>
      </c>
      <c r="K132" s="6">
        <v>2</v>
      </c>
      <c r="L132">
        <v>2.8</v>
      </c>
      <c r="M132" t="s">
        <v>18</v>
      </c>
      <c r="N132">
        <v>0</v>
      </c>
      <c r="O132" t="s">
        <v>171</v>
      </c>
    </row>
    <row r="133" spans="2:15" x14ac:dyDescent="0.3">
      <c r="B133">
        <v>13106</v>
      </c>
      <c r="C133" t="s">
        <v>283</v>
      </c>
      <c r="D133" s="7">
        <v>31242</v>
      </c>
      <c r="E133" t="s">
        <v>21</v>
      </c>
      <c r="F133" t="s">
        <v>17</v>
      </c>
      <c r="G133">
        <v>5</v>
      </c>
      <c r="H133">
        <v>3</v>
      </c>
      <c r="I133">
        <v>2</v>
      </c>
      <c r="J133">
        <v>5</v>
      </c>
      <c r="K133" s="6">
        <v>5</v>
      </c>
      <c r="L133">
        <v>4</v>
      </c>
      <c r="M133" t="s">
        <v>26</v>
      </c>
      <c r="N133">
        <v>0</v>
      </c>
      <c r="O133" t="s">
        <v>171</v>
      </c>
    </row>
    <row r="134" spans="2:15" x14ac:dyDescent="0.3">
      <c r="B134" s="6">
        <v>13067</v>
      </c>
      <c r="C134" s="6" t="s">
        <v>105</v>
      </c>
      <c r="D134" s="6" t="s">
        <v>106</v>
      </c>
      <c r="E134" s="6" t="s">
        <v>16</v>
      </c>
      <c r="F134" s="6" t="s">
        <v>17</v>
      </c>
      <c r="G134" s="6">
        <v>3</v>
      </c>
      <c r="H134" s="6">
        <v>5</v>
      </c>
      <c r="I134" s="6">
        <v>2</v>
      </c>
      <c r="J134" s="6">
        <v>5</v>
      </c>
      <c r="K134" s="6">
        <v>5</v>
      </c>
      <c r="L134">
        <v>4</v>
      </c>
      <c r="M134" t="s">
        <v>26</v>
      </c>
      <c r="N134">
        <v>2</v>
      </c>
      <c r="O134" t="s">
        <v>172</v>
      </c>
    </row>
    <row r="135" spans="2:15" x14ac:dyDescent="0.3">
      <c r="B135" s="6">
        <v>13055</v>
      </c>
      <c r="C135" s="6" t="s">
        <v>259</v>
      </c>
      <c r="D135" s="6" t="s">
        <v>260</v>
      </c>
      <c r="E135" s="6" t="s">
        <v>21</v>
      </c>
      <c r="F135" s="6" t="s">
        <v>17</v>
      </c>
      <c r="G135" s="6">
        <v>4</v>
      </c>
      <c r="H135" s="6">
        <v>4</v>
      </c>
      <c r="I135" s="6">
        <v>5</v>
      </c>
      <c r="J135" s="6">
        <v>2</v>
      </c>
      <c r="K135" s="6">
        <v>4</v>
      </c>
      <c r="L135">
        <v>3.8</v>
      </c>
      <c r="M135" t="s">
        <v>23</v>
      </c>
      <c r="N135">
        <v>0</v>
      </c>
      <c r="O135" t="s">
        <v>171</v>
      </c>
    </row>
    <row r="136" spans="2:15" x14ac:dyDescent="0.3">
      <c r="B136" s="6">
        <v>13075</v>
      </c>
      <c r="C136" s="6" t="s">
        <v>121</v>
      </c>
      <c r="D136" s="6" t="s">
        <v>122</v>
      </c>
      <c r="E136" s="6" t="s">
        <v>16</v>
      </c>
      <c r="F136" s="6" t="s">
        <v>17</v>
      </c>
      <c r="G136" s="6">
        <v>4</v>
      </c>
      <c r="H136" s="6">
        <v>3</v>
      </c>
      <c r="I136" s="6">
        <v>3</v>
      </c>
      <c r="J136" s="6">
        <v>5</v>
      </c>
      <c r="K136" s="6">
        <v>2</v>
      </c>
      <c r="L136">
        <v>3.4</v>
      </c>
      <c r="M136" t="s">
        <v>23</v>
      </c>
      <c r="N136">
        <v>-2</v>
      </c>
      <c r="O136" t="s">
        <v>171</v>
      </c>
    </row>
    <row r="137" spans="2:15" x14ac:dyDescent="0.3">
      <c r="B137" s="6">
        <v>13051</v>
      </c>
      <c r="C137" s="6" t="s">
        <v>251</v>
      </c>
      <c r="D137" s="6" t="s">
        <v>252</v>
      </c>
      <c r="E137" s="6" t="s">
        <v>21</v>
      </c>
      <c r="F137" s="6" t="s">
        <v>17</v>
      </c>
      <c r="G137" s="6">
        <v>4</v>
      </c>
      <c r="H137" s="6">
        <v>4</v>
      </c>
      <c r="I137" s="6">
        <v>4</v>
      </c>
      <c r="J137" s="6">
        <v>5</v>
      </c>
      <c r="K137" s="6">
        <v>4</v>
      </c>
      <c r="L137">
        <v>4.2</v>
      </c>
      <c r="M137" t="s">
        <v>26</v>
      </c>
      <c r="N137">
        <v>0</v>
      </c>
      <c r="O137" t="s">
        <v>171</v>
      </c>
    </row>
    <row r="138" spans="2:15" x14ac:dyDescent="0.3">
      <c r="B138" s="6">
        <v>13071</v>
      </c>
      <c r="C138" s="6" t="s">
        <v>113</v>
      </c>
      <c r="D138" s="6" t="s">
        <v>114</v>
      </c>
      <c r="E138" s="6" t="s">
        <v>21</v>
      </c>
      <c r="F138" s="6" t="s">
        <v>22</v>
      </c>
      <c r="G138" s="6">
        <v>5</v>
      </c>
      <c r="H138" s="6">
        <v>5</v>
      </c>
      <c r="I138" s="6">
        <v>5</v>
      </c>
      <c r="J138" s="6">
        <v>3</v>
      </c>
      <c r="K138" s="6">
        <v>4</v>
      </c>
      <c r="L138">
        <v>4.4000000000000004</v>
      </c>
      <c r="M138" t="s">
        <v>26</v>
      </c>
      <c r="N138">
        <v>-1</v>
      </c>
      <c r="O138" t="s">
        <v>171</v>
      </c>
    </row>
    <row r="139" spans="2:15" x14ac:dyDescent="0.3">
      <c r="B139" s="6">
        <v>13086</v>
      </c>
      <c r="C139" s="6" t="s">
        <v>143</v>
      </c>
      <c r="D139" s="6" t="s">
        <v>144</v>
      </c>
      <c r="E139" s="6" t="s">
        <v>16</v>
      </c>
      <c r="F139" s="6" t="s">
        <v>17</v>
      </c>
      <c r="G139" s="6">
        <v>2</v>
      </c>
      <c r="H139" s="6">
        <v>2</v>
      </c>
      <c r="I139" s="6">
        <v>2</v>
      </c>
      <c r="J139" s="6">
        <v>4</v>
      </c>
      <c r="K139" s="6">
        <v>2</v>
      </c>
      <c r="L139">
        <v>2.4</v>
      </c>
      <c r="M139" t="s">
        <v>18</v>
      </c>
      <c r="N139">
        <v>0</v>
      </c>
      <c r="O139" t="s">
        <v>171</v>
      </c>
    </row>
    <row r="140" spans="2:15" x14ac:dyDescent="0.3">
      <c r="B140">
        <v>13093</v>
      </c>
      <c r="C140" t="s">
        <v>157</v>
      </c>
      <c r="D140" s="6" t="s">
        <v>158</v>
      </c>
      <c r="E140" s="6" t="s">
        <v>16</v>
      </c>
      <c r="F140" s="6" t="s">
        <v>17</v>
      </c>
      <c r="G140" s="6">
        <v>2</v>
      </c>
      <c r="H140" s="6">
        <v>5</v>
      </c>
      <c r="I140" s="6">
        <v>4</v>
      </c>
      <c r="J140" s="6">
        <v>2</v>
      </c>
      <c r="K140" s="6">
        <v>5</v>
      </c>
      <c r="L140">
        <v>3.6</v>
      </c>
      <c r="M140" t="s">
        <v>23</v>
      </c>
      <c r="N140">
        <v>3</v>
      </c>
      <c r="O140" t="s">
        <v>172</v>
      </c>
    </row>
    <row r="141" spans="2:15" x14ac:dyDescent="0.3">
      <c r="B141" s="6">
        <v>13062</v>
      </c>
      <c r="C141" s="6" t="s">
        <v>273</v>
      </c>
      <c r="D141" s="6" t="s">
        <v>274</v>
      </c>
      <c r="E141" s="6" t="s">
        <v>16</v>
      </c>
      <c r="F141" s="6" t="s">
        <v>22</v>
      </c>
      <c r="G141" s="6">
        <v>2</v>
      </c>
      <c r="H141" s="6">
        <v>3</v>
      </c>
      <c r="I141" s="6">
        <v>3</v>
      </c>
      <c r="J141" s="6">
        <v>5</v>
      </c>
      <c r="K141" s="6">
        <v>3</v>
      </c>
      <c r="L141">
        <v>3.2</v>
      </c>
      <c r="M141" t="s">
        <v>23</v>
      </c>
      <c r="N141">
        <v>1</v>
      </c>
      <c r="O141" t="s">
        <v>172</v>
      </c>
    </row>
    <row r="142" spans="2:15" x14ac:dyDescent="0.3">
      <c r="B142" s="6">
        <v>13039</v>
      </c>
      <c r="C142" s="6" t="s">
        <v>227</v>
      </c>
      <c r="D142" s="6" t="s">
        <v>228</v>
      </c>
      <c r="E142" s="6" t="s">
        <v>21</v>
      </c>
      <c r="F142" s="6" t="s">
        <v>17</v>
      </c>
      <c r="G142" s="6">
        <v>4</v>
      </c>
      <c r="H142" s="6">
        <v>5</v>
      </c>
      <c r="I142" s="6">
        <v>4</v>
      </c>
      <c r="J142" s="6">
        <v>4</v>
      </c>
      <c r="K142" s="6">
        <v>5</v>
      </c>
      <c r="L142">
        <v>4.4000000000000004</v>
      </c>
      <c r="M142" t="s">
        <v>26</v>
      </c>
      <c r="N142">
        <v>1</v>
      </c>
      <c r="O142" t="s">
        <v>172</v>
      </c>
    </row>
    <row r="143" spans="2:15" x14ac:dyDescent="0.3">
      <c r="B143" s="6">
        <v>13057</v>
      </c>
      <c r="C143" s="6" t="s">
        <v>263</v>
      </c>
      <c r="D143" s="6" t="s">
        <v>264</v>
      </c>
      <c r="E143" s="6" t="s">
        <v>21</v>
      </c>
      <c r="F143" s="6" t="s">
        <v>17</v>
      </c>
      <c r="G143" s="6">
        <v>5</v>
      </c>
      <c r="H143" s="6">
        <v>3</v>
      </c>
      <c r="I143" s="6">
        <v>2</v>
      </c>
      <c r="J143" s="6">
        <v>5</v>
      </c>
      <c r="K143" s="6">
        <v>3</v>
      </c>
      <c r="L143">
        <v>3.6</v>
      </c>
      <c r="M143" t="s">
        <v>23</v>
      </c>
      <c r="N143">
        <v>-2</v>
      </c>
      <c r="O143" t="s">
        <v>171</v>
      </c>
    </row>
    <row r="144" spans="2:15" x14ac:dyDescent="0.3">
      <c r="B144" s="6">
        <v>13043</v>
      </c>
      <c r="C144" s="6" t="s">
        <v>235</v>
      </c>
      <c r="D144" s="6" t="s">
        <v>236</v>
      </c>
      <c r="E144" s="6" t="s">
        <v>21</v>
      </c>
      <c r="F144" s="6" t="s">
        <v>17</v>
      </c>
      <c r="G144" s="6">
        <v>3</v>
      </c>
      <c r="H144" s="6">
        <v>3</v>
      </c>
      <c r="I144" s="6">
        <v>2</v>
      </c>
      <c r="J144" s="6">
        <v>4</v>
      </c>
      <c r="K144" s="6">
        <v>3</v>
      </c>
      <c r="L144">
        <v>3</v>
      </c>
      <c r="M144" t="s">
        <v>23</v>
      </c>
      <c r="N144">
        <v>0</v>
      </c>
      <c r="O144" t="s">
        <v>171</v>
      </c>
    </row>
    <row r="145" spans="2:15" x14ac:dyDescent="0.3">
      <c r="B145" s="6">
        <v>13077</v>
      </c>
      <c r="C145" s="6" t="s">
        <v>125</v>
      </c>
      <c r="D145" s="6" t="s">
        <v>126</v>
      </c>
      <c r="E145" s="6" t="s">
        <v>16</v>
      </c>
      <c r="F145" s="6" t="s">
        <v>22</v>
      </c>
      <c r="G145" s="6">
        <v>4</v>
      </c>
      <c r="H145" s="6">
        <v>2</v>
      </c>
      <c r="I145" s="6">
        <v>2</v>
      </c>
      <c r="J145" s="6">
        <v>5</v>
      </c>
      <c r="K145" s="6">
        <v>2</v>
      </c>
      <c r="L145">
        <v>3</v>
      </c>
      <c r="M145" t="s">
        <v>23</v>
      </c>
      <c r="N145">
        <v>-2</v>
      </c>
      <c r="O145" t="s">
        <v>171</v>
      </c>
    </row>
    <row r="146" spans="2:15" x14ac:dyDescent="0.3">
      <c r="B146" s="6">
        <v>13048</v>
      </c>
      <c r="C146" s="6" t="s">
        <v>245</v>
      </c>
      <c r="D146" s="6" t="s">
        <v>246</v>
      </c>
      <c r="E146" s="6" t="s">
        <v>16</v>
      </c>
      <c r="F146" s="6" t="s">
        <v>22</v>
      </c>
      <c r="G146" s="6">
        <v>2</v>
      </c>
      <c r="H146" s="6">
        <v>3</v>
      </c>
      <c r="I146" s="6">
        <v>4</v>
      </c>
      <c r="J146" s="6">
        <v>5</v>
      </c>
      <c r="K146" s="6">
        <v>5</v>
      </c>
      <c r="L146">
        <v>3.8</v>
      </c>
      <c r="M146" t="s">
        <v>23</v>
      </c>
      <c r="N146">
        <v>3</v>
      </c>
      <c r="O146" t="s">
        <v>172</v>
      </c>
    </row>
    <row r="147" spans="2:15" x14ac:dyDescent="0.3">
      <c r="B147" s="6">
        <v>13045</v>
      </c>
      <c r="C147" s="6" t="s">
        <v>239</v>
      </c>
      <c r="D147" s="6" t="s">
        <v>240</v>
      </c>
      <c r="E147" s="6" t="s">
        <v>21</v>
      </c>
      <c r="F147" s="6" t="s">
        <v>17</v>
      </c>
      <c r="G147" s="6">
        <v>5</v>
      </c>
      <c r="H147" s="6">
        <v>4</v>
      </c>
      <c r="I147" s="6">
        <v>5</v>
      </c>
      <c r="J147" s="6">
        <v>3</v>
      </c>
      <c r="K147" s="6">
        <v>3</v>
      </c>
      <c r="L147">
        <v>4</v>
      </c>
      <c r="M147" t="s">
        <v>26</v>
      </c>
      <c r="N147">
        <v>-2</v>
      </c>
      <c r="O147" t="s">
        <v>171</v>
      </c>
    </row>
    <row r="148" spans="2:15" x14ac:dyDescent="0.3">
      <c r="K148" s="6"/>
    </row>
    <row r="149" spans="2:15" x14ac:dyDescent="0.3">
      <c r="K149" s="6"/>
    </row>
    <row r="150" spans="2:15" x14ac:dyDescent="0.3">
      <c r="K150" s="6"/>
    </row>
    <row r="151" spans="2:15" x14ac:dyDescent="0.3">
      <c r="K151" s="6"/>
    </row>
    <row r="152" spans="2:15" x14ac:dyDescent="0.3">
      <c r="K152" s="6"/>
    </row>
  </sheetData>
  <phoneticPr fontId="6" type="noConversion"/>
  <conditionalFormatting sqref="L1:L1048576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{A9063EBD-46EB-4FD8-82CB-8DA675A40BAF}</x14:id>
        </ext>
      </extLst>
    </cfRule>
  </conditionalFormatting>
  <conditionalFormatting sqref="M1:M1048576">
    <cfRule type="cellIs" priority="4" operator="greaterThan">
      <formula>"отлично"</formula>
    </cfRule>
  </conditionalFormatting>
  <conditionalFormatting sqref="N3:N147">
    <cfRule type="iconSet" priority="1">
      <iconSet iconSet="3Symbols">
        <cfvo type="percent" val="0"/>
        <cfvo type="num" val="-1"/>
        <cfvo type="num" val="0"/>
      </iconSet>
    </cfRule>
    <cfRule type="iconSet" priority="2">
      <iconSet>
        <cfvo type="percent" val="0"/>
        <cfvo type="num" val="-1"/>
        <cfvo type="num" val="0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063EBD-46EB-4FD8-82CB-8DA675A40BA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4854-26E7-4ED2-980F-F24FF641FEB7}">
  <dimension ref="A1:B145"/>
  <sheetViews>
    <sheetView workbookViewId="0">
      <selection sqref="A1:B1048576"/>
    </sheetView>
  </sheetViews>
  <sheetFormatPr defaultRowHeight="14.4" x14ac:dyDescent="0.3"/>
  <sheetData>
    <row r="1" spans="1:2" x14ac:dyDescent="0.3">
      <c r="A1" s="8">
        <v>12971</v>
      </c>
      <c r="B1">
        <f>COUNTIF(A:A,A1)</f>
        <v>1</v>
      </c>
    </row>
    <row r="2" spans="1:2" x14ac:dyDescent="0.3">
      <c r="A2" s="9">
        <v>12972</v>
      </c>
      <c r="B2">
        <f t="shared" ref="B2:B65" si="0">COUNTIF(A:A,A2)</f>
        <v>1</v>
      </c>
    </row>
    <row r="3" spans="1:2" x14ac:dyDescent="0.3">
      <c r="A3" s="8">
        <v>12973</v>
      </c>
      <c r="B3">
        <f t="shared" si="0"/>
        <v>1</v>
      </c>
    </row>
    <row r="4" spans="1:2" x14ac:dyDescent="0.3">
      <c r="A4" s="9">
        <v>12974</v>
      </c>
      <c r="B4">
        <f t="shared" si="0"/>
        <v>1</v>
      </c>
    </row>
    <row r="5" spans="1:2" x14ac:dyDescent="0.3">
      <c r="A5" s="8">
        <v>12975</v>
      </c>
      <c r="B5">
        <f t="shared" si="0"/>
        <v>1</v>
      </c>
    </row>
    <row r="6" spans="1:2" x14ac:dyDescent="0.3">
      <c r="A6" s="9">
        <v>12976</v>
      </c>
      <c r="B6">
        <f t="shared" si="0"/>
        <v>1</v>
      </c>
    </row>
    <row r="7" spans="1:2" x14ac:dyDescent="0.3">
      <c r="A7" s="8">
        <v>12977</v>
      </c>
      <c r="B7">
        <f t="shared" si="0"/>
        <v>1</v>
      </c>
    </row>
    <row r="8" spans="1:2" x14ac:dyDescent="0.3">
      <c r="A8" s="9">
        <v>12978</v>
      </c>
      <c r="B8">
        <f t="shared" si="0"/>
        <v>1</v>
      </c>
    </row>
    <row r="9" spans="1:2" x14ac:dyDescent="0.3">
      <c r="A9" s="8">
        <v>12979</v>
      </c>
      <c r="B9">
        <f t="shared" si="0"/>
        <v>1</v>
      </c>
    </row>
    <row r="10" spans="1:2" x14ac:dyDescent="0.3">
      <c r="A10" s="9">
        <v>12980</v>
      </c>
      <c r="B10">
        <f t="shared" si="0"/>
        <v>1</v>
      </c>
    </row>
    <row r="11" spans="1:2" x14ac:dyDescent="0.3">
      <c r="A11" s="8">
        <v>12981</v>
      </c>
      <c r="B11">
        <f t="shared" si="0"/>
        <v>1</v>
      </c>
    </row>
    <row r="12" spans="1:2" x14ac:dyDescent="0.3">
      <c r="A12" s="9">
        <v>12982</v>
      </c>
      <c r="B12">
        <f t="shared" si="0"/>
        <v>1</v>
      </c>
    </row>
    <row r="13" spans="1:2" x14ac:dyDescent="0.3">
      <c r="A13" s="8">
        <v>12983</v>
      </c>
      <c r="B13">
        <f t="shared" si="0"/>
        <v>1</v>
      </c>
    </row>
    <row r="14" spans="1:2" x14ac:dyDescent="0.3">
      <c r="A14" s="9">
        <v>12984</v>
      </c>
      <c r="B14">
        <f t="shared" si="0"/>
        <v>1</v>
      </c>
    </row>
    <row r="15" spans="1:2" x14ac:dyDescent="0.3">
      <c r="A15" s="8">
        <v>12985</v>
      </c>
      <c r="B15">
        <f t="shared" si="0"/>
        <v>1</v>
      </c>
    </row>
    <row r="16" spans="1:2" x14ac:dyDescent="0.3">
      <c r="A16" s="9">
        <v>12986</v>
      </c>
      <c r="B16">
        <f t="shared" si="0"/>
        <v>1</v>
      </c>
    </row>
    <row r="17" spans="1:2" x14ac:dyDescent="0.3">
      <c r="A17" s="8">
        <v>12987</v>
      </c>
      <c r="B17">
        <f t="shared" si="0"/>
        <v>1</v>
      </c>
    </row>
    <row r="18" spans="1:2" x14ac:dyDescent="0.3">
      <c r="A18" s="9">
        <v>12988</v>
      </c>
      <c r="B18">
        <f t="shared" si="0"/>
        <v>1</v>
      </c>
    </row>
    <row r="19" spans="1:2" x14ac:dyDescent="0.3">
      <c r="A19" s="8">
        <v>12989</v>
      </c>
      <c r="B19">
        <f t="shared" si="0"/>
        <v>1</v>
      </c>
    </row>
    <row r="20" spans="1:2" x14ac:dyDescent="0.3">
      <c r="A20" s="9">
        <v>12990</v>
      </c>
      <c r="B20">
        <f t="shared" si="0"/>
        <v>1</v>
      </c>
    </row>
    <row r="21" spans="1:2" x14ac:dyDescent="0.3">
      <c r="A21" s="8">
        <v>12991</v>
      </c>
      <c r="B21">
        <f t="shared" si="0"/>
        <v>1</v>
      </c>
    </row>
    <row r="22" spans="1:2" x14ac:dyDescent="0.3">
      <c r="A22" s="9">
        <v>12992</v>
      </c>
      <c r="B22">
        <f t="shared" si="0"/>
        <v>1</v>
      </c>
    </row>
    <row r="23" spans="1:2" x14ac:dyDescent="0.3">
      <c r="A23" s="8">
        <v>12993</v>
      </c>
      <c r="B23">
        <f t="shared" si="0"/>
        <v>1</v>
      </c>
    </row>
    <row r="24" spans="1:2" x14ac:dyDescent="0.3">
      <c r="A24" s="9">
        <v>12994</v>
      </c>
      <c r="B24">
        <f t="shared" si="0"/>
        <v>1</v>
      </c>
    </row>
    <row r="25" spans="1:2" x14ac:dyDescent="0.3">
      <c r="A25" s="8">
        <v>12995</v>
      </c>
      <c r="B25">
        <f t="shared" si="0"/>
        <v>1</v>
      </c>
    </row>
    <row r="26" spans="1:2" x14ac:dyDescent="0.3">
      <c r="A26" s="9">
        <v>12996</v>
      </c>
      <c r="B26">
        <f t="shared" si="0"/>
        <v>1</v>
      </c>
    </row>
    <row r="27" spans="1:2" x14ac:dyDescent="0.3">
      <c r="A27" s="8">
        <v>12997</v>
      </c>
      <c r="B27">
        <f t="shared" si="0"/>
        <v>1</v>
      </c>
    </row>
    <row r="28" spans="1:2" x14ac:dyDescent="0.3">
      <c r="A28" s="9">
        <v>12998</v>
      </c>
      <c r="B28">
        <f t="shared" si="0"/>
        <v>1</v>
      </c>
    </row>
    <row r="29" spans="1:2" x14ac:dyDescent="0.3">
      <c r="A29" s="8">
        <v>12999</v>
      </c>
      <c r="B29">
        <f t="shared" si="0"/>
        <v>1</v>
      </c>
    </row>
    <row r="30" spans="1:2" x14ac:dyDescent="0.3">
      <c r="A30" s="9">
        <v>13000</v>
      </c>
      <c r="B30">
        <f t="shared" si="0"/>
        <v>1</v>
      </c>
    </row>
    <row r="31" spans="1:2" x14ac:dyDescent="0.3">
      <c r="A31" s="8">
        <v>13001</v>
      </c>
      <c r="B31">
        <f t="shared" si="0"/>
        <v>1</v>
      </c>
    </row>
    <row r="32" spans="1:2" x14ac:dyDescent="0.3">
      <c r="A32" s="9">
        <v>13002</v>
      </c>
      <c r="B32">
        <f t="shared" si="0"/>
        <v>1</v>
      </c>
    </row>
    <row r="33" spans="1:2" x14ac:dyDescent="0.3">
      <c r="A33" s="8">
        <v>13003</v>
      </c>
      <c r="B33">
        <f t="shared" si="0"/>
        <v>1</v>
      </c>
    </row>
    <row r="34" spans="1:2" x14ac:dyDescent="0.3">
      <c r="A34" s="9">
        <v>13004</v>
      </c>
      <c r="B34">
        <f t="shared" si="0"/>
        <v>1</v>
      </c>
    </row>
    <row r="35" spans="1:2" x14ac:dyDescent="0.3">
      <c r="A35" s="8">
        <v>13005</v>
      </c>
      <c r="B35">
        <f t="shared" si="0"/>
        <v>1</v>
      </c>
    </row>
    <row r="36" spans="1:2" x14ac:dyDescent="0.3">
      <c r="A36" s="9">
        <v>13006</v>
      </c>
      <c r="B36">
        <f t="shared" si="0"/>
        <v>1</v>
      </c>
    </row>
    <row r="37" spans="1:2" x14ac:dyDescent="0.3">
      <c r="A37" s="8">
        <v>13007</v>
      </c>
      <c r="B37">
        <f t="shared" si="0"/>
        <v>1</v>
      </c>
    </row>
    <row r="38" spans="1:2" x14ac:dyDescent="0.3">
      <c r="A38" s="9">
        <v>13008</v>
      </c>
      <c r="B38">
        <f t="shared" si="0"/>
        <v>1</v>
      </c>
    </row>
    <row r="39" spans="1:2" x14ac:dyDescent="0.3">
      <c r="A39" s="8">
        <v>13009</v>
      </c>
      <c r="B39">
        <f t="shared" si="0"/>
        <v>1</v>
      </c>
    </row>
    <row r="40" spans="1:2" x14ac:dyDescent="0.3">
      <c r="A40" s="9">
        <v>13010</v>
      </c>
      <c r="B40">
        <f t="shared" si="0"/>
        <v>1</v>
      </c>
    </row>
    <row r="41" spans="1:2" x14ac:dyDescent="0.3">
      <c r="A41" s="8">
        <v>13011</v>
      </c>
      <c r="B41">
        <f t="shared" si="0"/>
        <v>1</v>
      </c>
    </row>
    <row r="42" spans="1:2" x14ac:dyDescent="0.3">
      <c r="A42" s="9">
        <v>13012</v>
      </c>
      <c r="B42">
        <f t="shared" si="0"/>
        <v>1</v>
      </c>
    </row>
    <row r="43" spans="1:2" x14ac:dyDescent="0.3">
      <c r="A43" s="8">
        <v>13013</v>
      </c>
      <c r="B43">
        <f t="shared" si="0"/>
        <v>1</v>
      </c>
    </row>
    <row r="44" spans="1:2" x14ac:dyDescent="0.3">
      <c r="A44" s="9">
        <v>13014</v>
      </c>
      <c r="B44">
        <f t="shared" si="0"/>
        <v>1</v>
      </c>
    </row>
    <row r="45" spans="1:2" x14ac:dyDescent="0.3">
      <c r="A45" s="8">
        <v>13015</v>
      </c>
      <c r="B45">
        <f t="shared" si="0"/>
        <v>1</v>
      </c>
    </row>
    <row r="46" spans="1:2" x14ac:dyDescent="0.3">
      <c r="A46" s="9">
        <v>13016</v>
      </c>
      <c r="B46">
        <f t="shared" si="0"/>
        <v>1</v>
      </c>
    </row>
    <row r="47" spans="1:2" x14ac:dyDescent="0.3">
      <c r="A47" s="8">
        <v>13017</v>
      </c>
      <c r="B47">
        <f t="shared" si="0"/>
        <v>1</v>
      </c>
    </row>
    <row r="48" spans="1:2" x14ac:dyDescent="0.3">
      <c r="A48" s="9">
        <v>13018</v>
      </c>
      <c r="B48">
        <f t="shared" si="0"/>
        <v>1</v>
      </c>
    </row>
    <row r="49" spans="1:2" x14ac:dyDescent="0.3">
      <c r="A49" s="8">
        <v>13019</v>
      </c>
      <c r="B49">
        <f t="shared" si="0"/>
        <v>1</v>
      </c>
    </row>
    <row r="50" spans="1:2" x14ac:dyDescent="0.3">
      <c r="A50" s="9">
        <v>13020</v>
      </c>
      <c r="B50">
        <f t="shared" si="0"/>
        <v>1</v>
      </c>
    </row>
    <row r="51" spans="1:2" x14ac:dyDescent="0.3">
      <c r="A51" s="8">
        <v>13021</v>
      </c>
      <c r="B51">
        <f t="shared" si="0"/>
        <v>1</v>
      </c>
    </row>
    <row r="52" spans="1:2" x14ac:dyDescent="0.3">
      <c r="A52" s="9">
        <v>13022</v>
      </c>
      <c r="B52">
        <f t="shared" si="0"/>
        <v>1</v>
      </c>
    </row>
    <row r="53" spans="1:2" x14ac:dyDescent="0.3">
      <c r="A53" s="8">
        <v>13023</v>
      </c>
      <c r="B53">
        <f t="shared" si="0"/>
        <v>1</v>
      </c>
    </row>
    <row r="54" spans="1:2" x14ac:dyDescent="0.3">
      <c r="A54" s="9">
        <v>13024</v>
      </c>
      <c r="B54">
        <f t="shared" si="0"/>
        <v>1</v>
      </c>
    </row>
    <row r="55" spans="1:2" x14ac:dyDescent="0.3">
      <c r="A55" s="8">
        <v>13025</v>
      </c>
      <c r="B55">
        <f t="shared" si="0"/>
        <v>1</v>
      </c>
    </row>
    <row r="56" spans="1:2" x14ac:dyDescent="0.3">
      <c r="A56" s="9">
        <v>13026</v>
      </c>
      <c r="B56">
        <f t="shared" si="0"/>
        <v>1</v>
      </c>
    </row>
    <row r="57" spans="1:2" x14ac:dyDescent="0.3">
      <c r="A57" s="8">
        <v>13027</v>
      </c>
      <c r="B57">
        <f t="shared" si="0"/>
        <v>1</v>
      </c>
    </row>
    <row r="58" spans="1:2" x14ac:dyDescent="0.3">
      <c r="A58" s="9">
        <v>13028</v>
      </c>
      <c r="B58">
        <f t="shared" si="0"/>
        <v>1</v>
      </c>
    </row>
    <row r="59" spans="1:2" x14ac:dyDescent="0.3">
      <c r="A59" s="8">
        <v>13029</v>
      </c>
      <c r="B59">
        <f t="shared" si="0"/>
        <v>1</v>
      </c>
    </row>
    <row r="60" spans="1:2" x14ac:dyDescent="0.3">
      <c r="A60" s="9">
        <v>13030</v>
      </c>
      <c r="B60">
        <f t="shared" si="0"/>
        <v>1</v>
      </c>
    </row>
    <row r="61" spans="1:2" x14ac:dyDescent="0.3">
      <c r="A61" s="8">
        <v>13031</v>
      </c>
      <c r="B61">
        <f t="shared" si="0"/>
        <v>1</v>
      </c>
    </row>
    <row r="62" spans="1:2" x14ac:dyDescent="0.3">
      <c r="A62" s="9">
        <v>13032</v>
      </c>
      <c r="B62">
        <f t="shared" si="0"/>
        <v>1</v>
      </c>
    </row>
    <row r="63" spans="1:2" x14ac:dyDescent="0.3">
      <c r="A63" s="8">
        <v>13033</v>
      </c>
      <c r="B63">
        <f t="shared" si="0"/>
        <v>1</v>
      </c>
    </row>
    <row r="64" spans="1:2" x14ac:dyDescent="0.3">
      <c r="A64" s="9">
        <v>13034</v>
      </c>
      <c r="B64">
        <f t="shared" si="0"/>
        <v>1</v>
      </c>
    </row>
    <row r="65" spans="1:2" x14ac:dyDescent="0.3">
      <c r="A65" s="8">
        <v>13035</v>
      </c>
      <c r="B65">
        <f t="shared" si="0"/>
        <v>1</v>
      </c>
    </row>
    <row r="66" spans="1:2" x14ac:dyDescent="0.3">
      <c r="A66" s="9">
        <v>13036</v>
      </c>
      <c r="B66">
        <f t="shared" ref="B66:B129" si="1">COUNTIF(A:A,A66)</f>
        <v>1</v>
      </c>
    </row>
    <row r="67" spans="1:2" x14ac:dyDescent="0.3">
      <c r="A67" s="8">
        <v>13037</v>
      </c>
      <c r="B67">
        <f t="shared" si="1"/>
        <v>1</v>
      </c>
    </row>
    <row r="68" spans="1:2" x14ac:dyDescent="0.3">
      <c r="A68" s="9">
        <v>13038</v>
      </c>
      <c r="B68">
        <f t="shared" si="1"/>
        <v>1</v>
      </c>
    </row>
    <row r="69" spans="1:2" x14ac:dyDescent="0.3">
      <c r="A69" s="8">
        <v>13039</v>
      </c>
      <c r="B69">
        <f t="shared" si="1"/>
        <v>1</v>
      </c>
    </row>
    <row r="70" spans="1:2" x14ac:dyDescent="0.3">
      <c r="A70" s="9">
        <v>13040</v>
      </c>
      <c r="B70">
        <f t="shared" si="1"/>
        <v>1</v>
      </c>
    </row>
    <row r="71" spans="1:2" x14ac:dyDescent="0.3">
      <c r="A71" s="8">
        <v>13041</v>
      </c>
      <c r="B71">
        <f t="shared" si="1"/>
        <v>1</v>
      </c>
    </row>
    <row r="72" spans="1:2" x14ac:dyDescent="0.3">
      <c r="A72" s="9">
        <v>13042</v>
      </c>
      <c r="B72">
        <f t="shared" si="1"/>
        <v>1</v>
      </c>
    </row>
    <row r="73" spans="1:2" x14ac:dyDescent="0.3">
      <c r="A73" s="8">
        <v>13043</v>
      </c>
      <c r="B73">
        <f t="shared" si="1"/>
        <v>1</v>
      </c>
    </row>
    <row r="74" spans="1:2" x14ac:dyDescent="0.3">
      <c r="A74" s="9">
        <v>13044</v>
      </c>
      <c r="B74">
        <f t="shared" si="1"/>
        <v>1</v>
      </c>
    </row>
    <row r="75" spans="1:2" x14ac:dyDescent="0.3">
      <c r="A75" s="8">
        <v>13045</v>
      </c>
      <c r="B75">
        <f t="shared" si="1"/>
        <v>1</v>
      </c>
    </row>
    <row r="76" spans="1:2" x14ac:dyDescent="0.3">
      <c r="A76" s="9">
        <v>13046</v>
      </c>
      <c r="B76">
        <f t="shared" si="1"/>
        <v>1</v>
      </c>
    </row>
    <row r="77" spans="1:2" x14ac:dyDescent="0.3">
      <c r="A77" s="8">
        <v>13047</v>
      </c>
      <c r="B77">
        <f t="shared" si="1"/>
        <v>1</v>
      </c>
    </row>
    <row r="78" spans="1:2" x14ac:dyDescent="0.3">
      <c r="A78" s="9">
        <v>13048</v>
      </c>
      <c r="B78">
        <f t="shared" si="1"/>
        <v>1</v>
      </c>
    </row>
    <row r="79" spans="1:2" x14ac:dyDescent="0.3">
      <c r="A79" s="8">
        <v>13049</v>
      </c>
      <c r="B79">
        <f t="shared" si="1"/>
        <v>1</v>
      </c>
    </row>
    <row r="80" spans="1:2" x14ac:dyDescent="0.3">
      <c r="A80" s="9">
        <v>13050</v>
      </c>
      <c r="B80">
        <f t="shared" si="1"/>
        <v>1</v>
      </c>
    </row>
    <row r="81" spans="1:2" x14ac:dyDescent="0.3">
      <c r="A81" s="8">
        <v>13051</v>
      </c>
      <c r="B81">
        <f t="shared" si="1"/>
        <v>1</v>
      </c>
    </row>
    <row r="82" spans="1:2" x14ac:dyDescent="0.3">
      <c r="A82" s="9">
        <v>13052</v>
      </c>
      <c r="B82">
        <f t="shared" si="1"/>
        <v>1</v>
      </c>
    </row>
    <row r="83" spans="1:2" x14ac:dyDescent="0.3">
      <c r="A83" s="8">
        <v>13053</v>
      </c>
      <c r="B83">
        <f t="shared" si="1"/>
        <v>1</v>
      </c>
    </row>
    <row r="84" spans="1:2" x14ac:dyDescent="0.3">
      <c r="A84" s="9">
        <v>13054</v>
      </c>
      <c r="B84">
        <f t="shared" si="1"/>
        <v>1</v>
      </c>
    </row>
    <row r="85" spans="1:2" x14ac:dyDescent="0.3">
      <c r="A85" s="8">
        <v>13055</v>
      </c>
      <c r="B85">
        <f t="shared" si="1"/>
        <v>1</v>
      </c>
    </row>
    <row r="86" spans="1:2" x14ac:dyDescent="0.3">
      <c r="A86" s="9">
        <v>13056</v>
      </c>
      <c r="B86">
        <f t="shared" si="1"/>
        <v>1</v>
      </c>
    </row>
    <row r="87" spans="1:2" x14ac:dyDescent="0.3">
      <c r="A87" s="8">
        <v>13057</v>
      </c>
      <c r="B87">
        <f t="shared" si="1"/>
        <v>1</v>
      </c>
    </row>
    <row r="88" spans="1:2" x14ac:dyDescent="0.3">
      <c r="A88" s="9">
        <v>13058</v>
      </c>
      <c r="B88">
        <f t="shared" si="1"/>
        <v>1</v>
      </c>
    </row>
    <row r="89" spans="1:2" x14ac:dyDescent="0.3">
      <c r="A89" s="8">
        <v>13059</v>
      </c>
      <c r="B89">
        <f t="shared" si="1"/>
        <v>1</v>
      </c>
    </row>
    <row r="90" spans="1:2" x14ac:dyDescent="0.3">
      <c r="A90" s="9">
        <v>13060</v>
      </c>
      <c r="B90">
        <f t="shared" si="1"/>
        <v>1</v>
      </c>
    </row>
    <row r="91" spans="1:2" x14ac:dyDescent="0.3">
      <c r="A91" s="8">
        <v>13061</v>
      </c>
      <c r="B91">
        <f t="shared" si="1"/>
        <v>1</v>
      </c>
    </row>
    <row r="92" spans="1:2" x14ac:dyDescent="0.3">
      <c r="A92" s="9">
        <v>13062</v>
      </c>
      <c r="B92">
        <f t="shared" si="1"/>
        <v>1</v>
      </c>
    </row>
    <row r="93" spans="1:2" x14ac:dyDescent="0.3">
      <c r="A93" s="8">
        <v>13063</v>
      </c>
      <c r="B93">
        <f t="shared" si="1"/>
        <v>1</v>
      </c>
    </row>
    <row r="94" spans="1:2" x14ac:dyDescent="0.3">
      <c r="A94" s="9">
        <v>13064</v>
      </c>
      <c r="B94">
        <f t="shared" si="1"/>
        <v>1</v>
      </c>
    </row>
    <row r="95" spans="1:2" x14ac:dyDescent="0.3">
      <c r="A95" s="8">
        <v>13065</v>
      </c>
      <c r="B95">
        <f t="shared" si="1"/>
        <v>1</v>
      </c>
    </row>
    <row r="96" spans="1:2" x14ac:dyDescent="0.3">
      <c r="A96" s="9">
        <v>13066</v>
      </c>
      <c r="B96">
        <f t="shared" si="1"/>
        <v>1</v>
      </c>
    </row>
    <row r="97" spans="1:2" x14ac:dyDescent="0.3">
      <c r="A97" s="8">
        <v>13067</v>
      </c>
      <c r="B97">
        <f t="shared" si="1"/>
        <v>1</v>
      </c>
    </row>
    <row r="98" spans="1:2" x14ac:dyDescent="0.3">
      <c r="A98" s="9">
        <v>13068</v>
      </c>
      <c r="B98">
        <f t="shared" si="1"/>
        <v>1</v>
      </c>
    </row>
    <row r="99" spans="1:2" x14ac:dyDescent="0.3">
      <c r="A99" s="8">
        <v>13069</v>
      </c>
      <c r="B99">
        <f t="shared" si="1"/>
        <v>1</v>
      </c>
    </row>
    <row r="100" spans="1:2" x14ac:dyDescent="0.3">
      <c r="A100" s="9">
        <v>13070</v>
      </c>
      <c r="B100">
        <f t="shared" si="1"/>
        <v>1</v>
      </c>
    </row>
    <row r="101" spans="1:2" x14ac:dyDescent="0.3">
      <c r="A101" s="8">
        <v>13071</v>
      </c>
      <c r="B101">
        <f t="shared" si="1"/>
        <v>1</v>
      </c>
    </row>
    <row r="102" spans="1:2" x14ac:dyDescent="0.3">
      <c r="A102" s="9">
        <v>13072</v>
      </c>
      <c r="B102">
        <f t="shared" si="1"/>
        <v>1</v>
      </c>
    </row>
    <row r="103" spans="1:2" x14ac:dyDescent="0.3">
      <c r="A103" s="8">
        <v>13073</v>
      </c>
      <c r="B103">
        <f t="shared" si="1"/>
        <v>1</v>
      </c>
    </row>
    <row r="104" spans="1:2" x14ac:dyDescent="0.3">
      <c r="A104" s="9">
        <v>13074</v>
      </c>
      <c r="B104">
        <f t="shared" si="1"/>
        <v>1</v>
      </c>
    </row>
    <row r="105" spans="1:2" x14ac:dyDescent="0.3">
      <c r="A105" s="8">
        <v>13075</v>
      </c>
      <c r="B105">
        <f t="shared" si="1"/>
        <v>1</v>
      </c>
    </row>
    <row r="106" spans="1:2" x14ac:dyDescent="0.3">
      <c r="A106" s="9">
        <v>13076</v>
      </c>
      <c r="B106">
        <f t="shared" si="1"/>
        <v>1</v>
      </c>
    </row>
    <row r="107" spans="1:2" x14ac:dyDescent="0.3">
      <c r="A107" s="8">
        <v>13077</v>
      </c>
      <c r="B107">
        <f t="shared" si="1"/>
        <v>1</v>
      </c>
    </row>
    <row r="108" spans="1:2" x14ac:dyDescent="0.3">
      <c r="A108" s="9">
        <v>13078</v>
      </c>
      <c r="B108">
        <f t="shared" si="1"/>
        <v>1</v>
      </c>
    </row>
    <row r="109" spans="1:2" x14ac:dyDescent="0.3">
      <c r="A109" s="8">
        <v>13079</v>
      </c>
      <c r="B109">
        <f t="shared" si="1"/>
        <v>1</v>
      </c>
    </row>
    <row r="110" spans="1:2" x14ac:dyDescent="0.3">
      <c r="A110" s="9">
        <v>13080</v>
      </c>
      <c r="B110">
        <f t="shared" si="1"/>
        <v>1</v>
      </c>
    </row>
    <row r="111" spans="1:2" x14ac:dyDescent="0.3">
      <c r="A111" s="8">
        <v>13081</v>
      </c>
      <c r="B111">
        <f t="shared" si="1"/>
        <v>1</v>
      </c>
    </row>
    <row r="112" spans="1:2" x14ac:dyDescent="0.3">
      <c r="A112" s="9">
        <v>13082</v>
      </c>
      <c r="B112">
        <f t="shared" si="1"/>
        <v>1</v>
      </c>
    </row>
    <row r="113" spans="1:2" x14ac:dyDescent="0.3">
      <c r="A113" s="8">
        <v>13083</v>
      </c>
      <c r="B113">
        <f t="shared" si="1"/>
        <v>1</v>
      </c>
    </row>
    <row r="114" spans="1:2" x14ac:dyDescent="0.3">
      <c r="A114" s="9">
        <v>13084</v>
      </c>
      <c r="B114">
        <f t="shared" si="1"/>
        <v>1</v>
      </c>
    </row>
    <row r="115" spans="1:2" x14ac:dyDescent="0.3">
      <c r="A115" s="8">
        <v>13085</v>
      </c>
      <c r="B115">
        <f t="shared" si="1"/>
        <v>1</v>
      </c>
    </row>
    <row r="116" spans="1:2" x14ac:dyDescent="0.3">
      <c r="A116" s="9">
        <v>13086</v>
      </c>
      <c r="B116">
        <f t="shared" si="1"/>
        <v>1</v>
      </c>
    </row>
    <row r="117" spans="1:2" x14ac:dyDescent="0.3">
      <c r="A117" s="8">
        <v>13087</v>
      </c>
      <c r="B117">
        <f t="shared" si="1"/>
        <v>1</v>
      </c>
    </row>
    <row r="118" spans="1:2" x14ac:dyDescent="0.3">
      <c r="A118" s="9">
        <v>13088</v>
      </c>
      <c r="B118">
        <f t="shared" si="1"/>
        <v>1</v>
      </c>
    </row>
    <row r="119" spans="1:2" x14ac:dyDescent="0.3">
      <c r="A119" s="8">
        <v>13089</v>
      </c>
      <c r="B119">
        <f t="shared" si="1"/>
        <v>1</v>
      </c>
    </row>
    <row r="120" spans="1:2" x14ac:dyDescent="0.3">
      <c r="A120" s="9">
        <v>13090</v>
      </c>
      <c r="B120">
        <f t="shared" si="1"/>
        <v>1</v>
      </c>
    </row>
    <row r="121" spans="1:2" x14ac:dyDescent="0.3">
      <c r="A121" s="8">
        <v>13091</v>
      </c>
      <c r="B121">
        <f t="shared" si="1"/>
        <v>1</v>
      </c>
    </row>
    <row r="122" spans="1:2" x14ac:dyDescent="0.3">
      <c r="A122" s="9">
        <v>13092</v>
      </c>
      <c r="B122">
        <f t="shared" si="1"/>
        <v>1</v>
      </c>
    </row>
    <row r="123" spans="1:2" x14ac:dyDescent="0.3">
      <c r="A123" s="8">
        <v>13093</v>
      </c>
      <c r="B123">
        <f t="shared" si="1"/>
        <v>1</v>
      </c>
    </row>
    <row r="124" spans="1:2" x14ac:dyDescent="0.3">
      <c r="A124" s="9">
        <v>13094</v>
      </c>
      <c r="B124">
        <f t="shared" si="1"/>
        <v>1</v>
      </c>
    </row>
    <row r="125" spans="1:2" x14ac:dyDescent="0.3">
      <c r="A125" s="8">
        <v>13095</v>
      </c>
      <c r="B125">
        <f t="shared" si="1"/>
        <v>1</v>
      </c>
    </row>
    <row r="126" spans="1:2" x14ac:dyDescent="0.3">
      <c r="A126" s="9">
        <v>13096</v>
      </c>
      <c r="B126">
        <f t="shared" si="1"/>
        <v>1</v>
      </c>
    </row>
    <row r="127" spans="1:2" x14ac:dyDescent="0.3">
      <c r="A127" s="8">
        <v>13097</v>
      </c>
      <c r="B127">
        <f t="shared" si="1"/>
        <v>1</v>
      </c>
    </row>
    <row r="128" spans="1:2" x14ac:dyDescent="0.3">
      <c r="A128" s="9">
        <v>13098</v>
      </c>
      <c r="B128">
        <f t="shared" si="1"/>
        <v>1</v>
      </c>
    </row>
    <row r="129" spans="1:2" x14ac:dyDescent="0.3">
      <c r="A129" s="8">
        <v>13099</v>
      </c>
      <c r="B129">
        <f t="shared" si="1"/>
        <v>1</v>
      </c>
    </row>
    <row r="130" spans="1:2" x14ac:dyDescent="0.3">
      <c r="A130" s="9">
        <v>13100</v>
      </c>
      <c r="B130">
        <f t="shared" ref="B130:B145" si="2">COUNTIF(A:A,A130)</f>
        <v>1</v>
      </c>
    </row>
    <row r="131" spans="1:2" x14ac:dyDescent="0.3">
      <c r="A131" s="8">
        <v>13101</v>
      </c>
      <c r="B131">
        <f t="shared" si="2"/>
        <v>1</v>
      </c>
    </row>
    <row r="132" spans="1:2" x14ac:dyDescent="0.3">
      <c r="A132" s="9">
        <v>13102</v>
      </c>
      <c r="B132">
        <f t="shared" si="2"/>
        <v>1</v>
      </c>
    </row>
    <row r="133" spans="1:2" x14ac:dyDescent="0.3">
      <c r="A133" s="8">
        <v>13103</v>
      </c>
      <c r="B133">
        <f t="shared" si="2"/>
        <v>1</v>
      </c>
    </row>
    <row r="134" spans="1:2" x14ac:dyDescent="0.3">
      <c r="A134" s="9">
        <v>13104</v>
      </c>
      <c r="B134">
        <f t="shared" si="2"/>
        <v>1</v>
      </c>
    </row>
    <row r="135" spans="1:2" x14ac:dyDescent="0.3">
      <c r="A135" s="8">
        <v>13105</v>
      </c>
      <c r="B135">
        <f t="shared" si="2"/>
        <v>1</v>
      </c>
    </row>
    <row r="136" spans="1:2" x14ac:dyDescent="0.3">
      <c r="A136" s="9">
        <v>13106</v>
      </c>
      <c r="B136">
        <f t="shared" si="2"/>
        <v>1</v>
      </c>
    </row>
    <row r="137" spans="1:2" x14ac:dyDescent="0.3">
      <c r="A137" s="8">
        <v>13107</v>
      </c>
      <c r="B137">
        <f t="shared" si="2"/>
        <v>1</v>
      </c>
    </row>
    <row r="138" spans="1:2" x14ac:dyDescent="0.3">
      <c r="A138" s="9">
        <v>13108</v>
      </c>
      <c r="B138">
        <f t="shared" si="2"/>
        <v>1</v>
      </c>
    </row>
    <row r="139" spans="1:2" x14ac:dyDescent="0.3">
      <c r="A139" s="8">
        <v>13109</v>
      </c>
      <c r="B139">
        <f t="shared" si="2"/>
        <v>1</v>
      </c>
    </row>
    <row r="140" spans="1:2" x14ac:dyDescent="0.3">
      <c r="A140" s="9">
        <v>13110</v>
      </c>
      <c r="B140">
        <f t="shared" si="2"/>
        <v>1</v>
      </c>
    </row>
    <row r="141" spans="1:2" x14ac:dyDescent="0.3">
      <c r="A141" s="8">
        <v>13111</v>
      </c>
      <c r="B141">
        <f t="shared" si="2"/>
        <v>1</v>
      </c>
    </row>
    <row r="142" spans="1:2" x14ac:dyDescent="0.3">
      <c r="A142" s="9">
        <v>13112</v>
      </c>
      <c r="B142">
        <f t="shared" si="2"/>
        <v>1</v>
      </c>
    </row>
    <row r="143" spans="1:2" x14ac:dyDescent="0.3">
      <c r="A143" s="8">
        <v>13113</v>
      </c>
      <c r="B143">
        <f t="shared" si="2"/>
        <v>1</v>
      </c>
    </row>
    <row r="144" spans="1:2" x14ac:dyDescent="0.3">
      <c r="A144" s="9">
        <v>13114</v>
      </c>
      <c r="B144">
        <f t="shared" si="2"/>
        <v>1</v>
      </c>
    </row>
    <row r="145" spans="1:2" x14ac:dyDescent="0.3">
      <c r="A145" s="10">
        <v>13115</v>
      </c>
      <c r="B145">
        <f t="shared" si="2"/>
        <v>1</v>
      </c>
    </row>
  </sheetData>
  <autoFilter ref="A1:B145" xr:uid="{DCAF4854-26E7-4ED2-980F-F24FF641FEB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4DD0-0755-414D-8DBC-C0E5ADAA672D}">
  <dimension ref="A2:K147"/>
  <sheetViews>
    <sheetView workbookViewId="0">
      <selection activeCell="G15" sqref="G15"/>
    </sheetView>
  </sheetViews>
  <sheetFormatPr defaultRowHeight="14.4" x14ac:dyDescent="0.3"/>
  <cols>
    <col min="1" max="1" width="23.44140625" bestFit="1" customWidth="1"/>
    <col min="2" max="3" width="14.44140625" bestFit="1" customWidth="1"/>
    <col min="5" max="9" width="17.5546875" bestFit="1" customWidth="1"/>
    <col min="10" max="10" width="10.44140625" bestFit="1" customWidth="1"/>
  </cols>
  <sheetData>
    <row r="2" spans="1:11" ht="15" thickBot="1" x14ac:dyDescent="0.35">
      <c r="A2" s="2" t="s">
        <v>1</v>
      </c>
      <c r="D2" t="s">
        <v>295</v>
      </c>
      <c r="E2" t="s">
        <v>296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</row>
    <row r="3" spans="1:11" ht="15" thickTop="1" x14ac:dyDescent="0.3">
      <c r="A3" s="6" t="s">
        <v>14</v>
      </c>
      <c r="C3" t="s">
        <v>21</v>
      </c>
      <c r="D3">
        <f>COUNTIF(Успеваемость!E:E,Лист3!C3)</f>
        <v>72</v>
      </c>
      <c r="E3" s="13">
        <f>D3/(D3+D4)</f>
        <v>0.49655172413793103</v>
      </c>
      <c r="F3" s="14">
        <f>AVERAGEIF(Успеваемость!$E:$E,Лист3!$C$3,Успеваемость!G:G)</f>
        <v>3.7083333333333335</v>
      </c>
      <c r="G3" s="14">
        <f>AVERAGEIF(Успеваемость!$E:$E,Лист3!$C$3,Успеваемость!H:H)</f>
        <v>3.6111111111111112</v>
      </c>
      <c r="H3" s="14">
        <f>AVERAGEIF(Успеваемость!$E:$E,Лист3!$C$3,Успеваемость!I:I)</f>
        <v>3.7083333333333335</v>
      </c>
      <c r="I3" s="14">
        <f>AVERAGEIF(Успеваемость!$E:$E,Лист3!$C$3,Успеваемость!J:J)</f>
        <v>3.5416666666666665</v>
      </c>
      <c r="J3" s="14">
        <f>AVERAGEIF(Успеваемость!$E:$E,Лист3!$C$3,Успеваемость!K:K)</f>
        <v>3.6666666666666665</v>
      </c>
      <c r="K3" s="14"/>
    </row>
    <row r="4" spans="1:11" x14ac:dyDescent="0.3">
      <c r="A4" s="6" t="s">
        <v>19</v>
      </c>
      <c r="C4" t="s">
        <v>16</v>
      </c>
      <c r="D4">
        <f>COUNTIF(Успеваемость!E:E,Лист3!C4)</f>
        <v>73</v>
      </c>
      <c r="E4" s="13">
        <f>D4/(D4+D3)</f>
        <v>0.50344827586206897</v>
      </c>
      <c r="F4" s="14">
        <f>AVERAGEIF(Успеваемость!$E:$E,Лист3!$C$4,Успеваемость!G:G)</f>
        <v>3.4383561643835616</v>
      </c>
      <c r="G4" s="14">
        <f>AVERAGEIF(Успеваемость!$E:$E,Лист3!$C$4,Успеваемость!H:H)</f>
        <v>3.452054794520548</v>
      </c>
      <c r="H4" s="14">
        <f>AVERAGEIF(Успеваемость!$E:$E,Лист3!$C$4,Успеваемость!I:I)</f>
        <v>3.4657534246575343</v>
      </c>
      <c r="I4" s="14">
        <f>AVERAGEIF(Успеваемость!$E:$E,Лист3!$C$4,Успеваемость!J:J)</f>
        <v>3.9452054794520546</v>
      </c>
      <c r="J4" s="14">
        <f>AVERAGEIF(Успеваемость!$E:$E,Лист3!$C$4,Успеваемость!K:K)</f>
        <v>3.4246575342465753</v>
      </c>
      <c r="K4" s="14"/>
    </row>
    <row r="5" spans="1:11" x14ac:dyDescent="0.3">
      <c r="A5" s="6" t="s">
        <v>24</v>
      </c>
      <c r="F5" s="14"/>
      <c r="G5" s="14"/>
      <c r="H5" s="14"/>
      <c r="I5" s="14"/>
      <c r="J5" s="14"/>
      <c r="K5" s="14"/>
    </row>
    <row r="6" spans="1:11" ht="15" thickBot="1" x14ac:dyDescent="0.35">
      <c r="A6" s="6" t="s">
        <v>27</v>
      </c>
      <c r="C6" s="11" t="s">
        <v>4</v>
      </c>
      <c r="D6" t="s">
        <v>295</v>
      </c>
      <c r="E6" t="s">
        <v>296</v>
      </c>
      <c r="F6" s="15" t="s">
        <v>5</v>
      </c>
      <c r="G6" s="15" t="s">
        <v>6</v>
      </c>
      <c r="H6" s="15" t="s">
        <v>7</v>
      </c>
      <c r="I6" s="15" t="s">
        <v>8</v>
      </c>
      <c r="J6" s="15" t="s">
        <v>9</v>
      </c>
      <c r="K6" s="14"/>
    </row>
    <row r="7" spans="1:11" ht="15" thickTop="1" x14ac:dyDescent="0.3">
      <c r="A7" s="6" t="s">
        <v>30</v>
      </c>
      <c r="C7" t="s">
        <v>293</v>
      </c>
      <c r="D7">
        <f>COUNTIF(Успеваемость!F:F,Лист3!C7)</f>
        <v>75</v>
      </c>
      <c r="E7" s="13">
        <f>D7/(D7+D8)</f>
        <v>0.51724137931034486</v>
      </c>
      <c r="F7" s="14">
        <f>AVERAGEIF(Успеваемость!$F:$F,Лист3!$C$7,Успеваемость!H:H)</f>
        <v>3.6</v>
      </c>
      <c r="G7" s="14">
        <f>AVERAGEIF(Успеваемость!$F:$F,Лист3!$C$7,Успеваемость!I:I)</f>
        <v>3.6933333333333334</v>
      </c>
      <c r="H7" s="14">
        <f>AVERAGEIF(Успеваемость!$F:$F,Лист3!$C$7,Успеваемость!J:J)</f>
        <v>3.68</v>
      </c>
      <c r="I7" s="14">
        <f>AVERAGEIF(Успеваемость!$F:$F,Лист3!$C$7,Успеваемость!K:K)</f>
        <v>3.56</v>
      </c>
      <c r="J7" s="14">
        <f>AVERAGEIF(Успеваемость!$F:$F,Лист3!$C$7,Успеваемость!L:L)</f>
        <v>3.6186666666666665</v>
      </c>
      <c r="K7" s="14"/>
    </row>
    <row r="8" spans="1:11" x14ac:dyDescent="0.3">
      <c r="A8" s="6" t="s">
        <v>32</v>
      </c>
      <c r="C8" t="s">
        <v>294</v>
      </c>
      <c r="D8">
        <f>COUNTIF(Успеваемость!F:F,Лист3!C8)</f>
        <v>70</v>
      </c>
      <c r="E8" s="13">
        <f>D8/(D8+D7)</f>
        <v>0.48275862068965519</v>
      </c>
      <c r="F8" s="14">
        <f>AVERAGEIF(Успеваемость!$F:$F,Лист3!$C$8,Успеваемость!H:H)</f>
        <v>3.4571428571428573</v>
      </c>
      <c r="G8" s="14">
        <f>AVERAGEIF(Успеваемость!$F:$F,Лист3!$C$8,Успеваемость!I:I)</f>
        <v>3.4714285714285715</v>
      </c>
      <c r="H8" s="14">
        <f>AVERAGEIF(Успеваемость!$F:$F,Лист3!$C$8,Успеваемость!J:J)</f>
        <v>3.8142857142857145</v>
      </c>
      <c r="I8" s="14">
        <f>AVERAGEIF(Успеваемость!$F:$F,Лист3!$C$8,Успеваемость!K:K)</f>
        <v>3.5285714285714285</v>
      </c>
      <c r="J8" s="14">
        <f>AVERAGEIF(Успеваемость!$F:$F,Лист3!$C$8,Успеваемость!L:L)</f>
        <v>3.5714285714285712</v>
      </c>
      <c r="K8" s="14"/>
    </row>
    <row r="9" spans="1:11" x14ac:dyDescent="0.3">
      <c r="A9" s="6" t="s">
        <v>34</v>
      </c>
      <c r="E9" s="14"/>
      <c r="F9" s="14"/>
      <c r="G9" s="14"/>
      <c r="H9" s="14"/>
      <c r="I9" s="14"/>
      <c r="J9" s="14"/>
    </row>
    <row r="10" spans="1:11" ht="15" thickBot="1" x14ac:dyDescent="0.35">
      <c r="A10" s="6" t="s">
        <v>36</v>
      </c>
      <c r="C10" s="11" t="s">
        <v>4</v>
      </c>
      <c r="D10" t="s">
        <v>295</v>
      </c>
      <c r="E10" s="14" t="s">
        <v>296</v>
      </c>
      <c r="F10" s="15" t="s">
        <v>5</v>
      </c>
      <c r="G10" s="15" t="s">
        <v>6</v>
      </c>
      <c r="H10" s="15" t="s">
        <v>7</v>
      </c>
      <c r="I10" s="15" t="s">
        <v>8</v>
      </c>
      <c r="J10" s="15" t="s">
        <v>9</v>
      </c>
    </row>
    <row r="11" spans="1:11" ht="15" thickTop="1" x14ac:dyDescent="0.3">
      <c r="A11" s="6" t="s">
        <v>38</v>
      </c>
      <c r="B11" t="s">
        <v>21</v>
      </c>
      <c r="C11" t="s">
        <v>293</v>
      </c>
      <c r="D11">
        <f>COUNTIFS(Успеваемость!F:F,Лист3!C11,Успеваемость!E:E,Лист3!B11)</f>
        <v>45</v>
      </c>
      <c r="E11" s="12">
        <f>D11/COUNTA(Лист3!A3:A147)</f>
        <v>0.31034482758620691</v>
      </c>
      <c r="F11" s="14">
        <f>AVERAGEIFS(Успеваемость!G:G,Успеваемость!$E:$E,Лист3!$B11,Успеваемость!$F:$F,Лист3!$C11)</f>
        <v>3.6444444444444444</v>
      </c>
      <c r="G11" s="14">
        <f>AVERAGEIFS(Успеваемость!H:H,Успеваемость!$E:$E,Лист3!$B11,Успеваемость!$F:$F,Лист3!$C11)</f>
        <v>3.6666666666666665</v>
      </c>
      <c r="H11" s="14">
        <f>AVERAGEIFS(Успеваемость!I:I,Успеваемость!$E:$E,Лист3!$B11,Успеваемость!$F:$F,Лист3!$C11)</f>
        <v>3.7555555555555555</v>
      </c>
      <c r="I11" s="14">
        <f>AVERAGEIFS(Успеваемость!J:J,Успеваемость!$E:$E,Лист3!$B11,Успеваемость!$F:$F,Лист3!$C11)</f>
        <v>3.5333333333333332</v>
      </c>
      <c r="J11" s="14">
        <f>AVERAGEIFS(Успеваемость!K:K,Успеваемость!$E:$E,Лист3!$B11,Успеваемость!$F:$F,Лист3!$C11)</f>
        <v>3.6666666666666665</v>
      </c>
    </row>
    <row r="12" spans="1:11" x14ac:dyDescent="0.3">
      <c r="A12" s="6" t="s">
        <v>40</v>
      </c>
      <c r="B12" t="s">
        <v>21</v>
      </c>
      <c r="C12" t="s">
        <v>294</v>
      </c>
      <c r="D12">
        <f>COUNTIFS(Успеваемость!F:F,Лист3!C12,Успеваемость!E:E,Лист3!B12)</f>
        <v>27</v>
      </c>
      <c r="E12" s="12">
        <f>D12/COUNTA(Лист3!A4:A148)</f>
        <v>0.1875</v>
      </c>
      <c r="F12" s="14">
        <f>AVERAGEIFS(Успеваемость!G:G,Успеваемость!$E:$E,Лист3!$B12,Успеваемость!$F:$F,Лист3!$C12)</f>
        <v>3.8148148148148149</v>
      </c>
      <c r="G12" s="14">
        <f>AVERAGEIFS(Успеваемость!H:H,Успеваемость!$E:$E,Лист3!$B12,Успеваемость!$F:$F,Лист3!$C12)</f>
        <v>3.5185185185185186</v>
      </c>
      <c r="H12" s="14">
        <f>AVERAGEIFS(Успеваемость!I:I,Успеваемость!$E:$E,Лист3!$B12,Успеваемость!$F:$F,Лист3!$C12)</f>
        <v>3.6296296296296298</v>
      </c>
      <c r="I12" s="14">
        <f>AVERAGEIFS(Успеваемость!J:J,Успеваемость!$E:$E,Лист3!$B12,Успеваемость!$F:$F,Лист3!$C12)</f>
        <v>3.5555555555555554</v>
      </c>
      <c r="J12" s="14">
        <f>AVERAGEIFS(Успеваемость!K:K,Успеваемость!$E:$E,Лист3!$B12,Успеваемость!$F:$F,Лист3!$C12)</f>
        <v>3.6666666666666665</v>
      </c>
    </row>
    <row r="13" spans="1:11" x14ac:dyDescent="0.3">
      <c r="A13" s="6" t="s">
        <v>42</v>
      </c>
      <c r="B13" t="s">
        <v>16</v>
      </c>
      <c r="C13" t="s">
        <v>293</v>
      </c>
      <c r="D13">
        <f>COUNTIFS(Успеваемость!F:F,Лист3!C13,Успеваемость!E:E,Лист3!B13)</f>
        <v>30</v>
      </c>
      <c r="E13" s="12">
        <f>D13/COUNTA(Лист3!A5:A149)</f>
        <v>0.20979020979020979</v>
      </c>
      <c r="F13" s="14">
        <f>AVERAGEIFS(Успеваемость!G:G,Успеваемость!$E:$E,Лист3!$B13,Успеваемость!$F:$F,Лист3!$C13)</f>
        <v>3.4333333333333331</v>
      </c>
      <c r="G13" s="14">
        <f>AVERAGEIFS(Успеваемость!H:H,Успеваемость!$E:$E,Лист3!$B13,Успеваемость!$F:$F,Лист3!$C13)</f>
        <v>3.5</v>
      </c>
      <c r="H13" s="14">
        <f>AVERAGEIFS(Успеваемость!I:I,Успеваемость!$E:$E,Лист3!$B13,Успеваемость!$F:$F,Лист3!$C13)</f>
        <v>3.6</v>
      </c>
      <c r="I13" s="14">
        <f>AVERAGEIFS(Успеваемость!J:J,Успеваемость!$E:$E,Лист3!$B13,Успеваемость!$F:$F,Лист3!$C13)</f>
        <v>3.9</v>
      </c>
      <c r="J13" s="14">
        <f>AVERAGEIFS(Успеваемость!K:K,Успеваемость!$E:$E,Лист3!$B13,Успеваемость!$F:$F,Лист3!$C13)</f>
        <v>3.4</v>
      </c>
    </row>
    <row r="14" spans="1:11" x14ac:dyDescent="0.3">
      <c r="A14" s="6" t="s">
        <v>44</v>
      </c>
      <c r="B14" t="s">
        <v>16</v>
      </c>
      <c r="C14" t="s">
        <v>294</v>
      </c>
      <c r="D14">
        <f>COUNTIFS(Успеваемость!F:F,Лист3!C14,Успеваемость!E:E,Лист3!B14)</f>
        <v>43</v>
      </c>
      <c r="E14" s="12">
        <f>D14/COUNTA(Лист3!A6:A150)</f>
        <v>0.30281690140845069</v>
      </c>
      <c r="F14" s="14">
        <f>AVERAGEIFS(Успеваемость!G:G,Успеваемость!$E:$E,Лист3!$B14,Успеваемость!$F:$F,Лист3!$C14)</f>
        <v>3.441860465116279</v>
      </c>
      <c r="G14" s="14">
        <f>AVERAGEIFS(Успеваемость!H:H,Успеваемость!$E:$E,Лист3!$B14,Успеваемость!$F:$F,Лист3!$C14)</f>
        <v>3.4186046511627906</v>
      </c>
      <c r="H14" s="14">
        <f>AVERAGEIFS(Успеваемость!I:I,Успеваемость!$E:$E,Лист3!$B14,Успеваемость!$F:$F,Лист3!$C14)</f>
        <v>3.3720930232558142</v>
      </c>
      <c r="I14" s="14">
        <f>AVERAGEIFS(Успеваемость!J:J,Успеваемость!$E:$E,Лист3!$B14,Успеваемость!$F:$F,Лист3!$C14)</f>
        <v>3.9767441860465116</v>
      </c>
      <c r="J14" s="14">
        <f>AVERAGEIFS(Успеваемость!K:K,Успеваемость!$E:$E,Лист3!$B14,Успеваемость!$F:$F,Лист3!$C14)</f>
        <v>3.441860465116279</v>
      </c>
    </row>
    <row r="15" spans="1:11" x14ac:dyDescent="0.3">
      <c r="A15" s="6" t="s">
        <v>46</v>
      </c>
    </row>
    <row r="16" spans="1:11" x14ac:dyDescent="0.3">
      <c r="A16" s="6" t="s">
        <v>47</v>
      </c>
    </row>
    <row r="17" spans="1:1" x14ac:dyDescent="0.3">
      <c r="A17" s="6" t="s">
        <v>48</v>
      </c>
    </row>
    <row r="18" spans="1:1" x14ac:dyDescent="0.3">
      <c r="A18" s="6" t="s">
        <v>49</v>
      </c>
    </row>
    <row r="19" spans="1:1" x14ac:dyDescent="0.3">
      <c r="A19" s="6" t="s">
        <v>50</v>
      </c>
    </row>
    <row r="20" spans="1:1" x14ac:dyDescent="0.3">
      <c r="A20" s="6" t="s">
        <v>51</v>
      </c>
    </row>
    <row r="21" spans="1:1" x14ac:dyDescent="0.3">
      <c r="A21" s="6" t="s">
        <v>53</v>
      </c>
    </row>
    <row r="22" spans="1:1" x14ac:dyDescent="0.3">
      <c r="A22" s="6" t="s">
        <v>55</v>
      </c>
    </row>
    <row r="23" spans="1:1" x14ac:dyDescent="0.3">
      <c r="A23" s="6" t="s">
        <v>57</v>
      </c>
    </row>
    <row r="24" spans="1:1" x14ac:dyDescent="0.3">
      <c r="A24" s="6" t="s">
        <v>59</v>
      </c>
    </row>
    <row r="25" spans="1:1" x14ac:dyDescent="0.3">
      <c r="A25" s="6" t="s">
        <v>61</v>
      </c>
    </row>
    <row r="26" spans="1:1" x14ac:dyDescent="0.3">
      <c r="A26" s="6" t="s">
        <v>63</v>
      </c>
    </row>
    <row r="27" spans="1:1" x14ac:dyDescent="0.3">
      <c r="A27" s="6" t="s">
        <v>65</v>
      </c>
    </row>
    <row r="28" spans="1:1" x14ac:dyDescent="0.3">
      <c r="A28" s="6" t="s">
        <v>67</v>
      </c>
    </row>
    <row r="29" spans="1:1" x14ac:dyDescent="0.3">
      <c r="A29" s="6" t="s">
        <v>69</v>
      </c>
    </row>
    <row r="30" spans="1:1" x14ac:dyDescent="0.3">
      <c r="A30" s="6" t="s">
        <v>71</v>
      </c>
    </row>
    <row r="31" spans="1:1" x14ac:dyDescent="0.3">
      <c r="A31" s="6" t="s">
        <v>73</v>
      </c>
    </row>
    <row r="32" spans="1:1" x14ac:dyDescent="0.3">
      <c r="A32" s="6" t="s">
        <v>173</v>
      </c>
    </row>
    <row r="33" spans="1:1" x14ac:dyDescent="0.3">
      <c r="A33" s="6" t="s">
        <v>175</v>
      </c>
    </row>
    <row r="34" spans="1:1" x14ac:dyDescent="0.3">
      <c r="A34" s="6" t="s">
        <v>177</v>
      </c>
    </row>
    <row r="35" spans="1:1" x14ac:dyDescent="0.3">
      <c r="A35" s="6" t="s">
        <v>179</v>
      </c>
    </row>
    <row r="36" spans="1:1" x14ac:dyDescent="0.3">
      <c r="A36" s="6" t="s">
        <v>181</v>
      </c>
    </row>
    <row r="37" spans="1:1" x14ac:dyDescent="0.3">
      <c r="A37" s="6" t="s">
        <v>183</v>
      </c>
    </row>
    <row r="38" spans="1:1" x14ac:dyDescent="0.3">
      <c r="A38" s="6" t="s">
        <v>185</v>
      </c>
    </row>
    <row r="39" spans="1:1" x14ac:dyDescent="0.3">
      <c r="A39" s="6" t="s">
        <v>187</v>
      </c>
    </row>
    <row r="40" spans="1:1" x14ac:dyDescent="0.3">
      <c r="A40" s="6" t="s">
        <v>189</v>
      </c>
    </row>
    <row r="41" spans="1:1" x14ac:dyDescent="0.3">
      <c r="A41" s="6" t="s">
        <v>191</v>
      </c>
    </row>
    <row r="42" spans="1:1" x14ac:dyDescent="0.3">
      <c r="A42" s="6" t="s">
        <v>193</v>
      </c>
    </row>
    <row r="43" spans="1:1" x14ac:dyDescent="0.3">
      <c r="A43" s="6" t="s">
        <v>195</v>
      </c>
    </row>
    <row r="44" spans="1:1" x14ac:dyDescent="0.3">
      <c r="A44" s="6" t="s">
        <v>197</v>
      </c>
    </row>
    <row r="45" spans="1:1" x14ac:dyDescent="0.3">
      <c r="A45" s="6" t="s">
        <v>199</v>
      </c>
    </row>
    <row r="46" spans="1:1" x14ac:dyDescent="0.3">
      <c r="A46" s="6" t="s">
        <v>201</v>
      </c>
    </row>
    <row r="47" spans="1:1" x14ac:dyDescent="0.3">
      <c r="A47" s="6" t="s">
        <v>203</v>
      </c>
    </row>
    <row r="48" spans="1:1" x14ac:dyDescent="0.3">
      <c r="A48" s="6" t="s">
        <v>205</v>
      </c>
    </row>
    <row r="49" spans="1:1" x14ac:dyDescent="0.3">
      <c r="A49" s="6" t="s">
        <v>207</v>
      </c>
    </row>
    <row r="50" spans="1:1" x14ac:dyDescent="0.3">
      <c r="A50" s="6" t="s">
        <v>209</v>
      </c>
    </row>
    <row r="51" spans="1:1" x14ac:dyDescent="0.3">
      <c r="A51" s="6" t="s">
        <v>211</v>
      </c>
    </row>
    <row r="52" spans="1:1" x14ac:dyDescent="0.3">
      <c r="A52" s="6" t="s">
        <v>213</v>
      </c>
    </row>
    <row r="53" spans="1:1" x14ac:dyDescent="0.3">
      <c r="A53" s="6" t="s">
        <v>75</v>
      </c>
    </row>
    <row r="54" spans="1:1" x14ac:dyDescent="0.3">
      <c r="A54" s="6" t="s">
        <v>77</v>
      </c>
    </row>
    <row r="55" spans="1:1" x14ac:dyDescent="0.3">
      <c r="A55" s="6" t="s">
        <v>79</v>
      </c>
    </row>
    <row r="56" spans="1:1" x14ac:dyDescent="0.3">
      <c r="A56" s="6" t="s">
        <v>81</v>
      </c>
    </row>
    <row r="57" spans="1:1" x14ac:dyDescent="0.3">
      <c r="A57" s="6" t="s">
        <v>83</v>
      </c>
    </row>
    <row r="58" spans="1:1" x14ac:dyDescent="0.3">
      <c r="A58" s="6" t="s">
        <v>85</v>
      </c>
    </row>
    <row r="59" spans="1:1" x14ac:dyDescent="0.3">
      <c r="A59" s="6" t="s">
        <v>87</v>
      </c>
    </row>
    <row r="60" spans="1:1" x14ac:dyDescent="0.3">
      <c r="A60" s="6" t="s">
        <v>89</v>
      </c>
    </row>
    <row r="61" spans="1:1" x14ac:dyDescent="0.3">
      <c r="A61" s="6" t="s">
        <v>91</v>
      </c>
    </row>
    <row r="62" spans="1:1" x14ac:dyDescent="0.3">
      <c r="A62" s="6" t="s">
        <v>93</v>
      </c>
    </row>
    <row r="63" spans="1:1" x14ac:dyDescent="0.3">
      <c r="A63" s="6" t="s">
        <v>95</v>
      </c>
    </row>
    <row r="64" spans="1:1" x14ac:dyDescent="0.3">
      <c r="A64" s="6" t="s">
        <v>97</v>
      </c>
    </row>
    <row r="65" spans="1:1" x14ac:dyDescent="0.3">
      <c r="A65" s="6" t="s">
        <v>215</v>
      </c>
    </row>
    <row r="66" spans="1:1" x14ac:dyDescent="0.3">
      <c r="A66" s="6" t="s">
        <v>217</v>
      </c>
    </row>
    <row r="67" spans="1:1" x14ac:dyDescent="0.3">
      <c r="A67" s="6" t="s">
        <v>219</v>
      </c>
    </row>
    <row r="68" spans="1:1" x14ac:dyDescent="0.3">
      <c r="A68" s="6" t="s">
        <v>221</v>
      </c>
    </row>
    <row r="69" spans="1:1" x14ac:dyDescent="0.3">
      <c r="A69" s="6" t="s">
        <v>223</v>
      </c>
    </row>
    <row r="70" spans="1:1" x14ac:dyDescent="0.3">
      <c r="A70" s="6" t="s">
        <v>225</v>
      </c>
    </row>
    <row r="71" spans="1:1" x14ac:dyDescent="0.3">
      <c r="A71" s="6" t="s">
        <v>227</v>
      </c>
    </row>
    <row r="72" spans="1:1" x14ac:dyDescent="0.3">
      <c r="A72" s="6" t="s">
        <v>229</v>
      </c>
    </row>
    <row r="73" spans="1:1" x14ac:dyDescent="0.3">
      <c r="A73" s="6" t="s">
        <v>231</v>
      </c>
    </row>
    <row r="74" spans="1:1" x14ac:dyDescent="0.3">
      <c r="A74" s="6" t="s">
        <v>233</v>
      </c>
    </row>
    <row r="75" spans="1:1" x14ac:dyDescent="0.3">
      <c r="A75" s="6" t="s">
        <v>235</v>
      </c>
    </row>
    <row r="76" spans="1:1" x14ac:dyDescent="0.3">
      <c r="A76" s="6" t="s">
        <v>237</v>
      </c>
    </row>
    <row r="77" spans="1:1" x14ac:dyDescent="0.3">
      <c r="A77" s="6" t="s">
        <v>239</v>
      </c>
    </row>
    <row r="78" spans="1:1" x14ac:dyDescent="0.3">
      <c r="A78" s="6" t="s">
        <v>241</v>
      </c>
    </row>
    <row r="79" spans="1:1" x14ac:dyDescent="0.3">
      <c r="A79" s="6" t="s">
        <v>243</v>
      </c>
    </row>
    <row r="80" spans="1:1" x14ac:dyDescent="0.3">
      <c r="A80" s="6" t="s">
        <v>245</v>
      </c>
    </row>
    <row r="81" spans="1:1" x14ac:dyDescent="0.3">
      <c r="A81" s="6" t="s">
        <v>247</v>
      </c>
    </row>
    <row r="82" spans="1:1" x14ac:dyDescent="0.3">
      <c r="A82" s="6" t="s">
        <v>249</v>
      </c>
    </row>
    <row r="83" spans="1:1" x14ac:dyDescent="0.3">
      <c r="A83" s="6" t="s">
        <v>251</v>
      </c>
    </row>
    <row r="84" spans="1:1" x14ac:dyDescent="0.3">
      <c r="A84" s="6" t="s">
        <v>253</v>
      </c>
    </row>
    <row r="85" spans="1:1" x14ac:dyDescent="0.3">
      <c r="A85" s="6" t="s">
        <v>255</v>
      </c>
    </row>
    <row r="86" spans="1:1" x14ac:dyDescent="0.3">
      <c r="A86" s="6" t="s">
        <v>257</v>
      </c>
    </row>
    <row r="87" spans="1:1" x14ac:dyDescent="0.3">
      <c r="A87" s="6" t="s">
        <v>259</v>
      </c>
    </row>
    <row r="88" spans="1:1" x14ac:dyDescent="0.3">
      <c r="A88" s="6" t="s">
        <v>261</v>
      </c>
    </row>
    <row r="89" spans="1:1" x14ac:dyDescent="0.3">
      <c r="A89" s="6" t="s">
        <v>263</v>
      </c>
    </row>
    <row r="90" spans="1:1" x14ac:dyDescent="0.3">
      <c r="A90" s="6" t="s">
        <v>265</v>
      </c>
    </row>
    <row r="91" spans="1:1" x14ac:dyDescent="0.3">
      <c r="A91" s="6" t="s">
        <v>267</v>
      </c>
    </row>
    <row r="92" spans="1:1" x14ac:dyDescent="0.3">
      <c r="A92" s="6" t="s">
        <v>269</v>
      </c>
    </row>
    <row r="93" spans="1:1" x14ac:dyDescent="0.3">
      <c r="A93" s="6" t="s">
        <v>271</v>
      </c>
    </row>
    <row r="94" spans="1:1" x14ac:dyDescent="0.3">
      <c r="A94" s="6" t="s">
        <v>273</v>
      </c>
    </row>
    <row r="95" spans="1:1" x14ac:dyDescent="0.3">
      <c r="A95" s="6" t="s">
        <v>99</v>
      </c>
    </row>
    <row r="96" spans="1:1" x14ac:dyDescent="0.3">
      <c r="A96" s="6" t="s">
        <v>100</v>
      </c>
    </row>
    <row r="97" spans="1:1" x14ac:dyDescent="0.3">
      <c r="A97" s="6" t="s">
        <v>101</v>
      </c>
    </row>
    <row r="98" spans="1:1" x14ac:dyDescent="0.3">
      <c r="A98" s="6" t="s">
        <v>103</v>
      </c>
    </row>
    <row r="99" spans="1:1" x14ac:dyDescent="0.3">
      <c r="A99" s="6" t="s">
        <v>105</v>
      </c>
    </row>
    <row r="100" spans="1:1" x14ac:dyDescent="0.3">
      <c r="A100" s="6" t="s">
        <v>107</v>
      </c>
    </row>
    <row r="101" spans="1:1" x14ac:dyDescent="0.3">
      <c r="A101" s="6" t="s">
        <v>109</v>
      </c>
    </row>
    <row r="102" spans="1:1" x14ac:dyDescent="0.3">
      <c r="A102" s="6" t="s">
        <v>111</v>
      </c>
    </row>
    <row r="103" spans="1:1" x14ac:dyDescent="0.3">
      <c r="A103" s="6" t="s">
        <v>113</v>
      </c>
    </row>
    <row r="104" spans="1:1" x14ac:dyDescent="0.3">
      <c r="A104" s="6" t="s">
        <v>115</v>
      </c>
    </row>
    <row r="105" spans="1:1" x14ac:dyDescent="0.3">
      <c r="A105" s="6" t="s">
        <v>117</v>
      </c>
    </row>
    <row r="106" spans="1:1" x14ac:dyDescent="0.3">
      <c r="A106" s="6" t="s">
        <v>119</v>
      </c>
    </row>
    <row r="107" spans="1:1" x14ac:dyDescent="0.3">
      <c r="A107" s="6" t="s">
        <v>121</v>
      </c>
    </row>
    <row r="108" spans="1:1" x14ac:dyDescent="0.3">
      <c r="A108" s="6" t="s">
        <v>123</v>
      </c>
    </row>
    <row r="109" spans="1:1" x14ac:dyDescent="0.3">
      <c r="A109" s="6" t="s">
        <v>125</v>
      </c>
    </row>
    <row r="110" spans="1:1" x14ac:dyDescent="0.3">
      <c r="A110" s="6" t="s">
        <v>127</v>
      </c>
    </row>
    <row r="111" spans="1:1" x14ac:dyDescent="0.3">
      <c r="A111" s="6" t="s">
        <v>129</v>
      </c>
    </row>
    <row r="112" spans="1:1" x14ac:dyDescent="0.3">
      <c r="A112" s="6" t="s">
        <v>131</v>
      </c>
    </row>
    <row r="113" spans="1:1" x14ac:dyDescent="0.3">
      <c r="A113" s="6" t="s">
        <v>133</v>
      </c>
    </row>
    <row r="114" spans="1:1" x14ac:dyDescent="0.3">
      <c r="A114" s="6" t="s">
        <v>135</v>
      </c>
    </row>
    <row r="115" spans="1:1" x14ac:dyDescent="0.3">
      <c r="A115" s="6" t="s">
        <v>137</v>
      </c>
    </row>
    <row r="116" spans="1:1" x14ac:dyDescent="0.3">
      <c r="A116" s="6" t="s">
        <v>139</v>
      </c>
    </row>
    <row r="117" spans="1:1" x14ac:dyDescent="0.3">
      <c r="A117" s="6" t="s">
        <v>141</v>
      </c>
    </row>
    <row r="118" spans="1:1" x14ac:dyDescent="0.3">
      <c r="A118" s="6" t="s">
        <v>143</v>
      </c>
    </row>
    <row r="119" spans="1:1" x14ac:dyDescent="0.3">
      <c r="A119" s="6" t="s">
        <v>145</v>
      </c>
    </row>
    <row r="120" spans="1:1" x14ac:dyDescent="0.3">
      <c r="A120" s="6" t="s">
        <v>147</v>
      </c>
    </row>
    <row r="121" spans="1:1" x14ac:dyDescent="0.3">
      <c r="A121" s="6" t="s">
        <v>149</v>
      </c>
    </row>
    <row r="122" spans="1:1" x14ac:dyDescent="0.3">
      <c r="A122" s="6" t="s">
        <v>151</v>
      </c>
    </row>
    <row r="123" spans="1:1" x14ac:dyDescent="0.3">
      <c r="A123" t="s">
        <v>153</v>
      </c>
    </row>
    <row r="124" spans="1:1" x14ac:dyDescent="0.3">
      <c r="A124" t="s">
        <v>155</v>
      </c>
    </row>
    <row r="125" spans="1:1" x14ac:dyDescent="0.3">
      <c r="A125" t="s">
        <v>157</v>
      </c>
    </row>
    <row r="126" spans="1:1" x14ac:dyDescent="0.3">
      <c r="A126" t="s">
        <v>159</v>
      </c>
    </row>
    <row r="127" spans="1:1" x14ac:dyDescent="0.3">
      <c r="A127" t="s">
        <v>161</v>
      </c>
    </row>
    <row r="128" spans="1:1" x14ac:dyDescent="0.3">
      <c r="A128" t="s">
        <v>163</v>
      </c>
    </row>
    <row r="129" spans="1:1" x14ac:dyDescent="0.3">
      <c r="A129" t="s">
        <v>165</v>
      </c>
    </row>
    <row r="130" spans="1:1" x14ac:dyDescent="0.3">
      <c r="A130" t="s">
        <v>167</v>
      </c>
    </row>
    <row r="131" spans="1:1" x14ac:dyDescent="0.3">
      <c r="A131" t="s">
        <v>169</v>
      </c>
    </row>
    <row r="132" spans="1:1" x14ac:dyDescent="0.3">
      <c r="A132" t="s">
        <v>277</v>
      </c>
    </row>
    <row r="133" spans="1:1" x14ac:dyDescent="0.3">
      <c r="A133" t="s">
        <v>278</v>
      </c>
    </row>
    <row r="134" spans="1:1" x14ac:dyDescent="0.3">
      <c r="A134" t="s">
        <v>279</v>
      </c>
    </row>
    <row r="135" spans="1:1" x14ac:dyDescent="0.3">
      <c r="A135" t="s">
        <v>280</v>
      </c>
    </row>
    <row r="136" spans="1:1" x14ac:dyDescent="0.3">
      <c r="A136" t="s">
        <v>281</v>
      </c>
    </row>
    <row r="137" spans="1:1" x14ac:dyDescent="0.3">
      <c r="A137" t="s">
        <v>282</v>
      </c>
    </row>
    <row r="138" spans="1:1" x14ac:dyDescent="0.3">
      <c r="A138" t="s">
        <v>283</v>
      </c>
    </row>
    <row r="139" spans="1:1" x14ac:dyDescent="0.3">
      <c r="A139" t="s">
        <v>284</v>
      </c>
    </row>
    <row r="140" spans="1:1" x14ac:dyDescent="0.3">
      <c r="A140" t="s">
        <v>285</v>
      </c>
    </row>
    <row r="141" spans="1:1" x14ac:dyDescent="0.3">
      <c r="A141" t="s">
        <v>286</v>
      </c>
    </row>
    <row r="142" spans="1:1" x14ac:dyDescent="0.3">
      <c r="A142" t="s">
        <v>277</v>
      </c>
    </row>
    <row r="143" spans="1:1" x14ac:dyDescent="0.3">
      <c r="A143" t="s">
        <v>278</v>
      </c>
    </row>
    <row r="144" spans="1:1" x14ac:dyDescent="0.3">
      <c r="A144" t="s">
        <v>279</v>
      </c>
    </row>
    <row r="145" spans="1:1" x14ac:dyDescent="0.3">
      <c r="A145" t="s">
        <v>280</v>
      </c>
    </row>
    <row r="146" spans="1:1" x14ac:dyDescent="0.3">
      <c r="A146" t="s">
        <v>281</v>
      </c>
    </row>
    <row r="147" spans="1:1" x14ac:dyDescent="0.3">
      <c r="A14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Лист4</vt:lpstr>
      <vt:lpstr>Успеваемость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aizharyk maksatkhan</dc:creator>
  <cp:lastModifiedBy>aizharyk maksatkhan</cp:lastModifiedBy>
  <dcterms:created xsi:type="dcterms:W3CDTF">2026-07-18T18:22:59Z</dcterms:created>
  <dcterms:modified xsi:type="dcterms:W3CDTF">2026-09-01T18:52:15Z</dcterms:modified>
</cp:coreProperties>
</file>