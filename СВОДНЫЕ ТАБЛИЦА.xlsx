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POWER BI DATABOOM\Power Bi\"/>
    </mc:Choice>
  </mc:AlternateContent>
  <xr:revisionPtr revIDLastSave="0" documentId="8_{DE6443DE-C41D-4C53-A96B-E476C98AC09E}" xr6:coauthVersionLast="47" xr6:coauthVersionMax="47" xr10:uidLastSave="{00000000-0000-0000-0000-000000000000}"/>
  <bookViews>
    <workbookView xWindow="-108" yWindow="-108" windowWidth="23256" windowHeight="12456" xr2:uid="{C375F4A1-110B-44EC-80B1-F6C5343A1371}"/>
  </bookViews>
  <sheets>
    <sheet name="лист 1" sheetId="1" r:id="rId1"/>
    <sheet name="лист 2" sheetId="2" r:id="rId2"/>
    <sheet name="лист 3" sheetId="3" r:id="rId3"/>
    <sheet name="СВОДНЫЕ ТАБ" sheetId="4" r:id="rId4"/>
    <sheet name="ДАШ" sheetId="10" r:id="rId5"/>
  </sheets>
  <definedNames>
    <definedName name="Срез_Город">#N/A</definedName>
    <definedName name="Срез_Название_курса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P13" i="10"/>
</calcChain>
</file>

<file path=xl/sharedStrings.xml><?xml version="1.0" encoding="utf-8"?>
<sst xmlns="http://schemas.openxmlformats.org/spreadsheetml/2006/main" count="1201" uniqueCount="300">
  <si>
    <t>Анализ продаж онлайн курсов за 2023 год</t>
  </si>
  <si>
    <t>ID студента</t>
  </si>
  <si>
    <t>ФИО студента</t>
  </si>
  <si>
    <t>Дата рождения</t>
  </si>
  <si>
    <t>Город</t>
  </si>
  <si>
    <t>Название курса</t>
  </si>
  <si>
    <t>Дата покупки</t>
  </si>
  <si>
    <t>Тип заказа</t>
  </si>
  <si>
    <t>Стоимость курса, $</t>
  </si>
  <si>
    <t>Скидка, %</t>
  </si>
  <si>
    <t>Оплата за курс, $</t>
  </si>
  <si>
    <t>Дарина Волкова</t>
  </si>
  <si>
    <t>Атырау</t>
  </si>
  <si>
    <t>KPI</t>
  </si>
  <si>
    <t>Елена Павлова</t>
  </si>
  <si>
    <t>Общая выручка</t>
  </si>
  <si>
    <t>Айдана Абдукаримова</t>
  </si>
  <si>
    <t>Кол-во продаж</t>
  </si>
  <si>
    <t>Алишер Бейсенов</t>
  </si>
  <si>
    <t>Астана</t>
  </si>
  <si>
    <t>Сред.стоимость курса</t>
  </si>
  <si>
    <t>Дильназ Темиргалиева</t>
  </si>
  <si>
    <t>Алматы</t>
  </si>
  <si>
    <t>Кол-во курсов</t>
  </si>
  <si>
    <t>Нургиса Бекзатова</t>
  </si>
  <si>
    <t>Топовый курс</t>
  </si>
  <si>
    <t>Алишер Бекзатов</t>
  </si>
  <si>
    <t>Модули</t>
  </si>
  <si>
    <t>Нуржан Абдукаримов</t>
  </si>
  <si>
    <t>Выручка по курсам</t>
  </si>
  <si>
    <t>Нургиса Темирбекова</t>
  </si>
  <si>
    <t>Продажи по городам</t>
  </si>
  <si>
    <t>Айзада Бекболатова</t>
  </si>
  <si>
    <t>Динамика продаж по месяцам</t>
  </si>
  <si>
    <t>Дамир Абдукаримов</t>
  </si>
  <si>
    <t>Средняя цена курса</t>
  </si>
  <si>
    <t>Алексей Попов</t>
  </si>
  <si>
    <t>Доли выручки в общем объеме</t>
  </si>
  <si>
    <t>Доли по типу заказа</t>
  </si>
  <si>
    <t>Айгерим Бекзатова</t>
  </si>
  <si>
    <t>Разница стоимости курсов</t>
  </si>
  <si>
    <t>Данияр Темирбеков</t>
  </si>
  <si>
    <t>Срезы</t>
  </si>
  <si>
    <t>Светлана Николаева</t>
  </si>
  <si>
    <t>Курс</t>
  </si>
  <si>
    <t>Данияр Темиргалиев</t>
  </si>
  <si>
    <t>Сабина Амангельдиева</t>
  </si>
  <si>
    <t>Ирина Смирнова</t>
  </si>
  <si>
    <t>Нина Смирнова</t>
  </si>
  <si>
    <t>Наталья Петрова</t>
  </si>
  <si>
    <t>Людмила Смирнова</t>
  </si>
  <si>
    <t>Нуржан Баймуратов</t>
  </si>
  <si>
    <t>Арсен Сабыржанов</t>
  </si>
  <si>
    <t>Аружан Сабыржанова</t>
  </si>
  <si>
    <t>Аружан Сатыбалдина</t>
  </si>
  <si>
    <t>Данияр Абишев</t>
  </si>
  <si>
    <t>Айдана Ажмуканова</t>
  </si>
  <si>
    <t>Аружан Амангелдиева</t>
  </si>
  <si>
    <t>Алтынай Амирова</t>
  </si>
  <si>
    <t>Анель Асылханова</t>
  </si>
  <si>
    <t>Айгерим Баймухамедова</t>
  </si>
  <si>
    <t>Дамир Байназаров</t>
  </si>
  <si>
    <t>Айдана Байтурсынова</t>
  </si>
  <si>
    <t>Айнур Бакирова</t>
  </si>
  <si>
    <t>Айгерим Балякбаева</t>
  </si>
  <si>
    <t>Айгерим Баратова</t>
  </si>
  <si>
    <t>Данияр Бахытжанов</t>
  </si>
  <si>
    <t>Айгерим Бейсенова</t>
  </si>
  <si>
    <t>Евгений Коваленко</t>
  </si>
  <si>
    <t>Айдана Мусаева</t>
  </si>
  <si>
    <t>Бакдаулет Сейланбаев</t>
  </si>
  <si>
    <t>Аружан Мусинова</t>
  </si>
  <si>
    <t>Костанай</t>
  </si>
  <si>
    <t>Дамир Сейланбаев</t>
  </si>
  <si>
    <t>Айжан Темиргалиева</t>
  </si>
  <si>
    <t>Антон Иванович</t>
  </si>
  <si>
    <t>Айнур Касымбаева</t>
  </si>
  <si>
    <t>Ольга Иванова</t>
  </si>
  <si>
    <t>Саят Темирбеков</t>
  </si>
  <si>
    <t>Караганда</t>
  </si>
  <si>
    <t>Нургиса Касымбаева</t>
  </si>
  <si>
    <t>Шымкент</t>
  </si>
  <si>
    <t>Нуржан Амангельдиева</t>
  </si>
  <si>
    <t>Артем Чернов</t>
  </si>
  <si>
    <t>Нуржана Бекзатова</t>
  </si>
  <si>
    <t>Дильназ Абдукаримова</t>
  </si>
  <si>
    <t>Айнур Куанышева</t>
  </si>
  <si>
    <t>Наталья Васильева</t>
  </si>
  <si>
    <t>Алишер Сырымбетов</t>
  </si>
  <si>
    <t>Айжан Мухтарова</t>
  </si>
  <si>
    <t>Мария Амангельдиева</t>
  </si>
  <si>
    <t>Сергей Иванов</t>
  </si>
  <si>
    <t>Александр Смирнов</t>
  </si>
  <si>
    <t>Сергей Петров</t>
  </si>
  <si>
    <t>Айдана Касымбаева</t>
  </si>
  <si>
    <t>Виктор Иванов</t>
  </si>
  <si>
    <t>Айгерим Темиргалиева</t>
  </si>
  <si>
    <t>Айжан Смагулова</t>
  </si>
  <si>
    <t>Дильназ Амангельдиева</t>
  </si>
  <si>
    <t>Дмитрий Попов</t>
  </si>
  <si>
    <t>Сергей Чернов</t>
  </si>
  <si>
    <t>Андрей Иванов</t>
  </si>
  <si>
    <t>Расул Мухамедов</t>
  </si>
  <si>
    <t>Артем Иванов</t>
  </si>
  <si>
    <t>Анастасия Петрова</t>
  </si>
  <si>
    <t>Динара Мирзабекова</t>
  </si>
  <si>
    <t>Михаил Попов</t>
  </si>
  <si>
    <t>Мария Смирнова</t>
  </si>
  <si>
    <t>Александр Васильев</t>
  </si>
  <si>
    <t>Амина Амангельдиева</t>
  </si>
  <si>
    <t>Андрей Смирнов</t>
  </si>
  <si>
    <t>Владимир Иванов</t>
  </si>
  <si>
    <t>Динара Султанова</t>
  </si>
  <si>
    <t>Ирина Иванова</t>
  </si>
  <si>
    <t>Екатерина Ковалева</t>
  </si>
  <si>
    <t>Айнур Султанова</t>
  </si>
  <si>
    <t>Ольга Кузнецова</t>
  </si>
  <si>
    <t>Мария Новикова</t>
  </si>
  <si>
    <t>Рустем Бекзатов</t>
  </si>
  <si>
    <t>Ирина Петрова</t>
  </si>
  <si>
    <t>Михаил Андреев</t>
  </si>
  <si>
    <t>Ринат Кузнецов</t>
  </si>
  <si>
    <t>Алишер Абдукаримов</t>
  </si>
  <si>
    <t>Айзада Темиргалиева</t>
  </si>
  <si>
    <t>Нуржана Абдукаримова</t>
  </si>
  <si>
    <t>Мадина Темиргалиева</t>
  </si>
  <si>
    <t>Динара Темиргалиева</t>
  </si>
  <si>
    <t>Нуржан Сырымбетов</t>
  </si>
  <si>
    <t>Андрей Кузнецов</t>
  </si>
  <si>
    <t>Максим Чернов</t>
  </si>
  <si>
    <t>Айнара Саттыгулова</t>
  </si>
  <si>
    <t>Алишер Сейтбеков</t>
  </si>
  <si>
    <t>Нургиса Айтбекова</t>
  </si>
  <si>
    <t>Аружан Аманова</t>
  </si>
  <si>
    <t>Алишер Байгужинов</t>
  </si>
  <si>
    <t>Нургиса Баиров</t>
  </si>
  <si>
    <t>Иван Васильев</t>
  </si>
  <si>
    <t>Айсулу Токтасынова</t>
  </si>
  <si>
    <t>Даниал Бекенов</t>
  </si>
  <si>
    <t>Нуржана Касымбаева</t>
  </si>
  <si>
    <t>Дамир Касымов</t>
  </si>
  <si>
    <t>Саят Амангельдиев</t>
  </si>
  <si>
    <t>Данияр Куанышев</t>
  </si>
  <si>
    <t>Максим Соколов</t>
  </si>
  <si>
    <t>Нуржан Касымбаев</t>
  </si>
  <si>
    <t>Мария Ахметова</t>
  </si>
  <si>
    <t>Алина Смирнова</t>
  </si>
  <si>
    <t>Маржан Мамбетова</t>
  </si>
  <si>
    <t>Айзада Касымова</t>
  </si>
  <si>
    <t>Данияр Касымов</t>
  </si>
  <si>
    <t>Алтынай Жолдыбаева</t>
  </si>
  <si>
    <t>Айдана Смагулова</t>
  </si>
  <si>
    <t>Дамир Айтбеков</t>
  </si>
  <si>
    <t>Алишер Амиров</t>
  </si>
  <si>
    <t>Айгерим Байболатова</t>
  </si>
  <si>
    <t>Алишер Байтурсынов</t>
  </si>
  <si>
    <t>Арсен Байтурсын</t>
  </si>
  <si>
    <t>Алтынай Балякбаева</t>
  </si>
  <si>
    <t>Аружан Балякбаева</t>
  </si>
  <si>
    <t>Дамир Бегматов</t>
  </si>
  <si>
    <t>Алишер Бегматов</t>
  </si>
  <si>
    <t>Айнур Байназарова</t>
  </si>
  <si>
    <t>Елизавета Николаева</t>
  </si>
  <si>
    <t>Айзада Сарсенова</t>
  </si>
  <si>
    <t>Ерлан Жакупов</t>
  </si>
  <si>
    <t>Аружан Абылайханова</t>
  </si>
  <si>
    <t>Асель Байгазина</t>
  </si>
  <si>
    <t>Айсулу Темирбекова</t>
  </si>
  <si>
    <t>Айжана Темиргалиева</t>
  </si>
  <si>
    <t>Нуржан Бекболатов</t>
  </si>
  <si>
    <t>Иван Соколовский</t>
  </si>
  <si>
    <t>Татьяна Иванова</t>
  </si>
  <si>
    <t>Антон Кузнецов</t>
  </si>
  <si>
    <t>Марьям Токтасынов</t>
  </si>
  <si>
    <t>Нургиса Абдукаримова</t>
  </si>
  <si>
    <t>Татьяна Ахметова</t>
  </si>
  <si>
    <t>Дильназ Касымова</t>
  </si>
  <si>
    <t>Татьяна Смирнова</t>
  </si>
  <si>
    <t>Айзада Касымбаева</t>
  </si>
  <si>
    <t>Аружан Амангельдиева</t>
  </si>
  <si>
    <t>Айзада Бекзатова</t>
  </si>
  <si>
    <t>Айнара Бекболатова</t>
  </si>
  <si>
    <t>Нургиса Сырымбетова</t>
  </si>
  <si>
    <t>Айнара Абдукаримова</t>
  </si>
  <si>
    <t>Иван Смирнов</t>
  </si>
  <si>
    <t>Рамазан Темиргалиев</t>
  </si>
  <si>
    <t>Айдана Темиргалиева</t>
  </si>
  <si>
    <t>Нурсултан Маратов</t>
  </si>
  <si>
    <t>Елена Кузнецова</t>
  </si>
  <si>
    <t>Анна Николаева</t>
  </si>
  <si>
    <t>Мария Кузнецова</t>
  </si>
  <si>
    <t>Ринат Ахметов</t>
  </si>
  <si>
    <t>Ильнур Ахметов</t>
  </si>
  <si>
    <t>Алихан Бегимбетов</t>
  </si>
  <si>
    <t>Мадина Султанова</t>
  </si>
  <si>
    <t>Александр Кузнецов</t>
  </si>
  <si>
    <t>Ольга Соколова</t>
  </si>
  <si>
    <t>Екатерина Ахметова</t>
  </si>
  <si>
    <t>Еркежан Смагулова</t>
  </si>
  <si>
    <t>Асем Смагулова</t>
  </si>
  <si>
    <t>Иван Петров</t>
  </si>
  <si>
    <t>Артем Смирнов</t>
  </si>
  <si>
    <t>Елена Ахметова</t>
  </si>
  <si>
    <t>Иван Ахметов</t>
  </si>
  <si>
    <t>Динара Смагулова</t>
  </si>
  <si>
    <t>Марина Петрова</t>
  </si>
  <si>
    <t>Айжан Бекзатова</t>
  </si>
  <si>
    <t>Елена Смирнова</t>
  </si>
  <si>
    <t>Нурлан Токтасынов</t>
  </si>
  <si>
    <t>Алина Соколова</t>
  </si>
  <si>
    <t>Ирина Ахметова</t>
  </si>
  <si>
    <t>Ирина Попова</t>
  </si>
  <si>
    <t>Алия Бекзатова</t>
  </si>
  <si>
    <t>Раиса Смирнова</t>
  </si>
  <si>
    <t>Мадина Токтасынова</t>
  </si>
  <si>
    <t>Нургиса Темиргалиева</t>
  </si>
  <si>
    <t>Ольга Петренко</t>
  </si>
  <si>
    <t>Оскемен</t>
  </si>
  <si>
    <t>Петр Николаевич</t>
  </si>
  <si>
    <t>Нуржан Бектурганов</t>
  </si>
  <si>
    <t>Назерке Амангельдиева</t>
  </si>
  <si>
    <t>Айсулу Бекболатова</t>
  </si>
  <si>
    <t>Мадияр Темиргалиев</t>
  </si>
  <si>
    <t>Екатерина Петрова</t>
  </si>
  <si>
    <t>Артем Петров</t>
  </si>
  <si>
    <t>Денис Смирнов</t>
  </si>
  <si>
    <t>Марьям Бекзатова</t>
  </si>
  <si>
    <t>Айдар Смирнов</t>
  </si>
  <si>
    <t>Айгуль Токтасынова</t>
  </si>
  <si>
    <t>Ринат Иванов</t>
  </si>
  <si>
    <t>Данияр Амангельдиев</t>
  </si>
  <si>
    <t>Марина Коваленко</t>
  </si>
  <si>
    <t>Алина Петрова</t>
  </si>
  <si>
    <t>Татьяна Петрова</t>
  </si>
  <si>
    <t>Павел Чернов</t>
  </si>
  <si>
    <t>Алтынай Бахытова</t>
  </si>
  <si>
    <t>Елена Петрова</t>
  </si>
  <si>
    <t>Алина Темиргалиева</t>
  </si>
  <si>
    <t>Владимир Попов</t>
  </si>
  <si>
    <t>Назерке Темирбекова</t>
  </si>
  <si>
    <t>Данияр Касымбаев</t>
  </si>
  <si>
    <t>Алишер Бекболатов</t>
  </si>
  <si>
    <t>Айнара Темирбекова</t>
  </si>
  <si>
    <t>Алина Касымбаева</t>
  </si>
  <si>
    <t>Рамазан Абдукаримов</t>
  </si>
  <si>
    <t>Еркежан Темиргалиев</t>
  </si>
  <si>
    <t>Анна Кузнецова</t>
  </si>
  <si>
    <t>Назар Камалбеков</t>
  </si>
  <si>
    <t>Айганым Сарыбай</t>
  </si>
  <si>
    <t>Дина Алиева</t>
  </si>
  <si>
    <t>Айгерим Амирова</t>
  </si>
  <si>
    <t>Айнур Баймуратов</t>
  </si>
  <si>
    <t>Дамир Баймуратов</t>
  </si>
  <si>
    <t>Айнара Бактыгулова</t>
  </si>
  <si>
    <t>Айнур Бауыржанов</t>
  </si>
  <si>
    <t>Айнур Бейсенова</t>
  </si>
  <si>
    <t>Айдан Муратов</t>
  </si>
  <si>
    <t>Аружан Бекмуратова</t>
  </si>
  <si>
    <t>Айнара Жанатова</t>
  </si>
  <si>
    <t>Дамир Бекзатов</t>
  </si>
  <si>
    <t>Рустем Темиргалиев</t>
  </si>
  <si>
    <t>Екатерина Смирнова</t>
  </si>
  <si>
    <t>Ольга Смирнова</t>
  </si>
  <si>
    <t>Айдана Муканова</t>
  </si>
  <si>
    <t>Айжана Султанова</t>
  </si>
  <si>
    <t>Анастасия Иванова</t>
  </si>
  <si>
    <t>Мадияр Амангельдиев</t>
  </si>
  <si>
    <t>Екатерина Васильева</t>
  </si>
  <si>
    <t>название курса</t>
  </si>
  <si>
    <t>дата покупки</t>
  </si>
  <si>
    <t>тип заказа</t>
  </si>
  <si>
    <t>AI</t>
  </si>
  <si>
    <t>вебинар</t>
  </si>
  <si>
    <t>инстаграмм</t>
  </si>
  <si>
    <t>Excel</t>
  </si>
  <si>
    <t>без скидки</t>
  </si>
  <si>
    <t>Power BI</t>
  </si>
  <si>
    <t>Python</t>
  </si>
  <si>
    <t>SQL</t>
  </si>
  <si>
    <t>Прайс</t>
  </si>
  <si>
    <t>Скидки</t>
  </si>
  <si>
    <t>стоимость курса, $</t>
  </si>
  <si>
    <t>скидка</t>
  </si>
  <si>
    <t>Общий итог</t>
  </si>
  <si>
    <t>Сумма по полю Стоимость курса, $</t>
  </si>
  <si>
    <t>Название курс</t>
  </si>
  <si>
    <t xml:space="preserve"> Стоимость курса, $</t>
  </si>
  <si>
    <t>город</t>
  </si>
  <si>
    <t>Сумма по полю ID студента</t>
  </si>
  <si>
    <t>курс</t>
  </si>
  <si>
    <t>Среднее  Стоимость курса, $</t>
  </si>
  <si>
    <t>Сумма по полю Оплата за курс, $</t>
  </si>
  <si>
    <t>Количество по полю Тип заказа</t>
  </si>
  <si>
    <t>Сумма по полю скидка</t>
  </si>
  <si>
    <t>КоличествоСтоимость курса, $</t>
  </si>
  <si>
    <t>Общая выручка, $</t>
  </si>
  <si>
    <t>Количество по полю Оплата за курс, $</t>
  </si>
  <si>
    <t>Сред.стоимость курса, $</t>
  </si>
  <si>
    <t>Кол-во продаж, $</t>
  </si>
  <si>
    <t>АНАЛИЗ ПРОДАЖ ОНЛАЙН  КУРСОВ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</si>
</sst>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i/>
      <sz val="12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8"/>
      <color theme="2"/>
      <name val="Aptos Narrow"/>
      <family val="2"/>
      <scheme val="minor"/>
    </font>
    <font>
      <b/>
      <sz val="11"/>
      <color rgb="FF7F7F7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4" fillId="2" borderId="0" xfId="0" applyFont="1" applyFill="1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/>
    <xf numFmtId="1" fontId="0" fillId="0" borderId="0" xfId="0" applyNumberFormat="1"/>
    <xf numFmtId="0" fontId="6" fillId="0" borderId="0" xfId="0" applyFont="1"/>
    <xf numFmtId="0" fontId="5" fillId="3" borderId="0" xfId="0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ТАБЛИЦА.xlsx]СВОДНЫЕ ТАБ!Сводная таблица2</c:name>
    <c:fmtId val="0"/>
  </c:pivotSource>
  <c:chart>
    <c:title>
      <c:tx>
        <c:strRef>
          <c:f>'СВОДНЫЕ ТАБ'!$A$2</c:f>
          <c:strCache>
            <c:ptCount val="1"/>
            <c:pt idx="0">
              <c:v>Выручка по курсам</c:v>
            </c:pt>
          </c:strCache>
        </c:strRef>
      </c:tx>
      <c:layout>
        <c:manualLayout>
          <c:xMode val="edge"/>
          <c:yMode val="edge"/>
          <c:x val="0.34101025833309301"/>
          <c:y val="0.13905458787348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'СВОДНЫЕ ТАБ'!$A$2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'СВОДНЫЕ ТАБ'!$A$2</c:f>
              <c:strCache>
                <c:ptCount val="5"/>
                <c:pt idx="0">
                  <c:v>AI</c:v>
                </c:pt>
                <c:pt idx="1">
                  <c:v>Excel</c:v>
                </c:pt>
                <c:pt idx="2">
                  <c:v>Power BI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'СВОДНЫЕ ТАБ'!$A$2</c:f>
              <c:numCache>
                <c:formatCode>General</c:formatCode>
                <c:ptCount val="5"/>
                <c:pt idx="0">
                  <c:v>2700</c:v>
                </c:pt>
                <c:pt idx="1">
                  <c:v>29600</c:v>
                </c:pt>
                <c:pt idx="2">
                  <c:v>60600</c:v>
                </c:pt>
                <c:pt idx="3">
                  <c:v>12000</c:v>
                </c:pt>
                <c:pt idx="4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A-4375-A5D5-F982C3021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845551"/>
        <c:axId val="581846991"/>
      </c:barChart>
      <c:catAx>
        <c:axId val="58184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81846991"/>
        <c:crosses val="autoZero"/>
        <c:auto val="1"/>
        <c:lblAlgn val="ctr"/>
        <c:lblOffset val="100"/>
        <c:noMultiLvlLbl val="0"/>
      </c:catAx>
      <c:valAx>
        <c:axId val="5818469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184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ТАБЛИЦА.xlsx]СВОДНЫЕ ТАБ!Сводная таблица3</c:name>
    <c:fmtId val="0"/>
  </c:pivotSource>
  <c:chart>
    <c:title>
      <c:tx>
        <c:strRef>
          <c:f>'СВОДНЫЕ ТАБ'!$A$13</c:f>
          <c:strCache>
            <c:ptCount val="1"/>
            <c:pt idx="0">
              <c:v>Продажи по городам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08092738407698"/>
          <c:y val="0.23550707203266255"/>
          <c:w val="0.54634536307961501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'СВОДНЫЕ ТАБ'!$A$13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'СВОДНЫЕ ТАБ'!$A$13</c:f>
              <c:strCache>
                <c:ptCount val="7"/>
                <c:pt idx="0">
                  <c:v>Алматы</c:v>
                </c:pt>
                <c:pt idx="1">
                  <c:v>Астана</c:v>
                </c:pt>
                <c:pt idx="2">
                  <c:v>Атырау</c:v>
                </c:pt>
                <c:pt idx="3">
                  <c:v>Караганда</c:v>
                </c:pt>
                <c:pt idx="4">
                  <c:v>Костанай</c:v>
                </c:pt>
                <c:pt idx="5">
                  <c:v>Оскемен</c:v>
                </c:pt>
                <c:pt idx="6">
                  <c:v>Шымкент</c:v>
                </c:pt>
              </c:strCache>
            </c:strRef>
          </c:cat>
          <c:val>
            <c:numRef>
              <c:f>'СВОДНЫЕ ТАБ'!$A$13</c:f>
              <c:numCache>
                <c:formatCode>General</c:formatCode>
                <c:ptCount val="7"/>
                <c:pt idx="0">
                  <c:v>109780</c:v>
                </c:pt>
                <c:pt idx="1">
                  <c:v>135145</c:v>
                </c:pt>
                <c:pt idx="2">
                  <c:v>53309</c:v>
                </c:pt>
                <c:pt idx="3">
                  <c:v>11668</c:v>
                </c:pt>
                <c:pt idx="4">
                  <c:v>15001</c:v>
                </c:pt>
                <c:pt idx="5">
                  <c:v>5246</c:v>
                </c:pt>
                <c:pt idx="6">
                  <c:v>21347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B-4C33-9F68-2E55EB6D16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9"/>
        <c:axId val="952101919"/>
        <c:axId val="952118719"/>
      </c:barChart>
      <c:catAx>
        <c:axId val="95210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52118719"/>
        <c:crosses val="autoZero"/>
        <c:auto val="1"/>
        <c:lblAlgn val="ctr"/>
        <c:lblOffset val="100"/>
        <c:noMultiLvlLbl val="0"/>
      </c:catAx>
      <c:valAx>
        <c:axId val="952118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10191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ТАБЛИЦА.xlsx]СВОДНЫЕ ТАБ!Сводная таблица6</c:name>
    <c:fmtId val="0"/>
  </c:pivotSource>
  <c:chart>
    <c:title>
      <c:tx>
        <c:strRef>
          <c:f>'СВОДНЫЕ ТАБ'!$A$32</c:f>
          <c:strCache>
            <c:ptCount val="1"/>
            <c:pt idx="0">
              <c:v>Средняя цена курса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'СВОДНЫЕ ТАБ'!$A$32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'СВОДНЫЕ ТАБ'!$A$32</c:f>
              <c:strCache>
                <c:ptCount val="5"/>
                <c:pt idx="0">
                  <c:v>AI</c:v>
                </c:pt>
                <c:pt idx="1">
                  <c:v>Excel</c:v>
                </c:pt>
                <c:pt idx="2">
                  <c:v>Power BI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'СВОДНЫЕ ТАБ'!$A$32</c:f>
              <c:numCache>
                <c:formatCode>General</c:formatCode>
                <c:ptCount val="5"/>
                <c:pt idx="0">
                  <c:v>150</c:v>
                </c:pt>
                <c:pt idx="1">
                  <c:v>400</c:v>
                </c:pt>
                <c:pt idx="2">
                  <c:v>600</c:v>
                </c:pt>
                <c:pt idx="3">
                  <c:v>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B-48AD-8BFE-9738306C7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4212879"/>
        <c:axId val="1204213359"/>
      </c:barChart>
      <c:catAx>
        <c:axId val="12042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04213359"/>
        <c:crosses val="autoZero"/>
        <c:auto val="1"/>
        <c:lblAlgn val="ctr"/>
        <c:lblOffset val="100"/>
        <c:noMultiLvlLbl val="0"/>
      </c:catAx>
      <c:valAx>
        <c:axId val="12042133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0421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ТАБЛИЦА.xlsx]СВОДНЫЕ ТАБ!Сводная таблица7</c:name>
    <c:fmtId val="0"/>
  </c:pivotSource>
  <c:chart>
    <c:title>
      <c:tx>
        <c:strRef>
          <c:f>'СВОДНЫЕ ТАБ'!$A$42</c:f>
          <c:strCache>
            <c:ptCount val="1"/>
            <c:pt idx="0">
              <c:v>Доли выручки в общем объеме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'СВОДНЫЕ ТАБ'!$A$42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9-4EC1-9A4E-8CB7C9F764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9-4EC1-9A4E-8CB7C9F764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D9-4EC1-9A4E-8CB7C9F764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D9-4EC1-9A4E-8CB7C9F764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D9-4EC1-9A4E-8CB7C9F764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'СВОДНЫЕ ТАБ'!$A$42</c:f>
              <c:strCache>
                <c:ptCount val="5"/>
                <c:pt idx="0">
                  <c:v>AI</c:v>
                </c:pt>
                <c:pt idx="1">
                  <c:v>Excel</c:v>
                </c:pt>
                <c:pt idx="2">
                  <c:v>Power BI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'СВОДНЫЕ ТАБ'!$A$42</c:f>
              <c:numCache>
                <c:formatCode>0.00%</c:formatCode>
                <c:ptCount val="5"/>
                <c:pt idx="0">
                  <c:v>6.7924528301886791E-2</c:v>
                </c:pt>
                <c:pt idx="1">
                  <c:v>0.27924528301886792</c:v>
                </c:pt>
                <c:pt idx="2">
                  <c:v>0.38113207547169814</c:v>
                </c:pt>
                <c:pt idx="3">
                  <c:v>9.056603773584905E-2</c:v>
                </c:pt>
                <c:pt idx="4">
                  <c:v>0.1811320754716981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8-4118-BCED-FB9B2DEB59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[СВОДНЫЕ ТАБЛИЦА.xlsx]СВОДНЫЕ ТАБ!Сводная таблица8</c:name>
    <c:fmtId val="0"/>
  </c:pivotSource>
  <c:chart>
    <c:title>
      <c:tx>
        <c:strRef>
          <c:f>'СВОДНЫЕ ТАБ'!$A$53</c:f>
          <c:strCache>
            <c:ptCount val="1"/>
            <c:pt idx="0">
              <c:v>Доли по типу заказа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'СВОДНЫЕ ТАБ'!$A$53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ED-461C-8F57-DD6D79BDB1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ED-461C-8F57-DD6D79BDB1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ED-461C-8F57-DD6D79BDB1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ED-461C-8F57-DD6D79BDB1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ED-461C-8F57-DD6D79BDB1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'СВОДНЫЕ ТАБ'!$A$53</c:f>
              <c:strCache>
                <c:ptCount val="5"/>
                <c:pt idx="0">
                  <c:v>AI</c:v>
                </c:pt>
                <c:pt idx="1">
                  <c:v>Excel</c:v>
                </c:pt>
                <c:pt idx="2">
                  <c:v>Power BI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'СВОДНЫЕ ТАБ'!$A$53</c:f>
              <c:numCache>
                <c:formatCode>0.00%</c:formatCode>
                <c:ptCount val="5"/>
                <c:pt idx="0">
                  <c:v>6.7924528301886791E-2</c:v>
                </c:pt>
                <c:pt idx="1">
                  <c:v>0.27924528301886792</c:v>
                </c:pt>
                <c:pt idx="2">
                  <c:v>0.38113207547169814</c:v>
                </c:pt>
                <c:pt idx="3">
                  <c:v>9.056603773584905E-2</c:v>
                </c:pt>
                <c:pt idx="4">
                  <c:v>0.1811320754716981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9-4451-A347-9AB24C1BFC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807720</xdr:colOff>
      <xdr:row>0</xdr:row>
      <xdr:rowOff>0</xdr:rowOff>
    </xdr:from>
    <xdr:to>
      <xdr:col>6</xdr:col>
      <xdr:colOff>7620</xdr:colOff>
      <xdr:row>10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4B6274D-982E-CE54-10C7-07B0117E1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723900</xdr:colOff>
      <xdr:row>12</xdr:row>
      <xdr:rowOff>11430</xdr:rowOff>
    </xdr:from>
    <xdr:to>
      <xdr:col>6</xdr:col>
      <xdr:colOff>106680</xdr:colOff>
      <xdr:row>23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4C119A-026C-8870-F5F2-7565BB55D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777240</xdr:colOff>
      <xdr:row>29</xdr:row>
      <xdr:rowOff>148590</xdr:rowOff>
    </xdr:from>
    <xdr:to>
      <xdr:col>6</xdr:col>
      <xdr:colOff>198120</xdr:colOff>
      <xdr:row>40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C5BEC3A-0125-2A81-AC74-C780E007D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777240</xdr:colOff>
      <xdr:row>42</xdr:row>
      <xdr:rowOff>3810</xdr:rowOff>
    </xdr:from>
    <xdr:to>
      <xdr:col>5</xdr:col>
      <xdr:colOff>480060</xdr:colOff>
      <xdr:row>52</xdr:row>
      <xdr:rowOff>144780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B9EE273-FE5F-1C53-89E7-ACA6DAF26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830580</xdr:colOff>
      <xdr:row>53</xdr:row>
      <xdr:rowOff>41910</xdr:rowOff>
    </xdr:from>
    <xdr:to>
      <xdr:col>5</xdr:col>
      <xdr:colOff>190500</xdr:colOff>
      <xdr:row>62</xdr:row>
      <xdr:rowOff>15240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48D99EA-3F1C-0F64-DCE7-542B4D489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529167</xdr:colOff>
      <xdr:row>0</xdr:row>
      <xdr:rowOff>8467</xdr:rowOff>
    </xdr:from>
    <xdr:to>
      <xdr:col>9</xdr:col>
      <xdr:colOff>25400</xdr:colOff>
      <xdr:row>9</xdr:row>
      <xdr:rowOff>135467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Название курса">
              <a:extLst>
                <a:ext uri="{FF2B5EF4-FFF2-40B4-BE49-F238E27FC236}">
                  <a16:creationId xmlns:a16="http://schemas.microsoft.com/office/drawing/2014/main" id="{69F83746-A2FC-BBB5-C44F-A71B2F6EE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курс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8367" y="8467"/>
              <a:ext cx="1824566" cy="180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131233</xdr:colOff>
      <xdr:row>0</xdr:row>
      <xdr:rowOff>0</xdr:rowOff>
    </xdr:from>
    <xdr:to>
      <xdr:col>12</xdr:col>
      <xdr:colOff>143933</xdr:colOff>
      <xdr:row>12</xdr:row>
      <xdr:rowOff>33867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Город">
              <a:extLst>
                <a:ext uri="{FF2B5EF4-FFF2-40B4-BE49-F238E27FC236}">
                  <a16:creationId xmlns:a16="http://schemas.microsoft.com/office/drawing/2014/main" id="{24757B5D-6F95-663E-840F-F773610999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98766" y="0"/>
              <a:ext cx="1841500" cy="2269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381000</xdr:rowOff>
    </xdr:from>
    <xdr:to>
      <xdr:col>1</xdr:col>
      <xdr:colOff>746760</xdr:colOff>
      <xdr:row>10</xdr:row>
      <xdr:rowOff>149860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курса 1">
              <a:extLst>
                <a:ext uri="{FF2B5EF4-FFF2-40B4-BE49-F238E27FC236}">
                  <a16:creationId xmlns:a16="http://schemas.microsoft.com/office/drawing/2014/main" id="{6B6564E9-7D1E-4798-954A-A8FA2098FB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курс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1000"/>
              <a:ext cx="1546860" cy="180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10</xdr:row>
      <xdr:rowOff>175260</xdr:rowOff>
    </xdr:from>
    <xdr:to>
      <xdr:col>1</xdr:col>
      <xdr:colOff>784860</xdr:colOff>
      <xdr:row>23</xdr:row>
      <xdr:rowOff>66887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Город 1">
              <a:extLst>
                <a:ext uri="{FF2B5EF4-FFF2-40B4-BE49-F238E27FC236}">
                  <a16:creationId xmlns:a16="http://schemas.microsoft.com/office/drawing/2014/main" id="{3CA26A34-58CC-4CBF-9975-DBDC3A9A56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209800"/>
              <a:ext cx="1577340" cy="2269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3</xdr:col>
      <xdr:colOff>15240</xdr:colOff>
      <xdr:row>1</xdr:row>
      <xdr:rowOff>53340</xdr:rowOff>
    </xdr:from>
    <xdr:to>
      <xdr:col>6</xdr:col>
      <xdr:colOff>822960</xdr:colOff>
      <xdr:row>5</xdr:row>
      <xdr:rowOff>137160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EEEB7F3F-3533-3FE6-0DD7-35E27C18482A}"/>
            </a:ext>
          </a:extLst>
        </xdr:cNvPr>
        <xdr:cNvSpPr/>
      </xdr:nvSpPr>
      <xdr:spPr>
        <a:xfrm>
          <a:off x="1805940" y="441960"/>
          <a:ext cx="3368040" cy="81534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ru-KZ" sz="2400">
              <a:effectLst/>
            </a:rPr>
            <a:t> </a:t>
          </a:r>
          <a:endParaRPr lang="en-US" sz="2400"/>
        </a:p>
      </xdr:txBody>
    </xdr:sp>
    <xdr:clientData/>
  </xdr:twoCellAnchor>
  <xdr:oneCellAnchor>
    <xdr:from>
      <xdr:col>9</xdr:col>
      <xdr:colOff>456274</xdr:colOff>
      <xdr:row>10</xdr:row>
      <xdr:rowOff>114083</xdr:rowOff>
    </xdr:from>
    <xdr:ext cx="184731" cy="937693"/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940A2307-2BE2-CAE7-00F8-A3EDF6DF1F02}"/>
            </a:ext>
          </a:extLst>
        </xdr:cNvPr>
        <xdr:cNvSpPr/>
      </xdr:nvSpPr>
      <xdr:spPr>
        <a:xfrm>
          <a:off x="6994234" y="2148623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ru-KZ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5</xdr:col>
      <xdr:colOff>121920</xdr:colOff>
      <xdr:row>5</xdr:row>
      <xdr:rowOff>99060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B445984-3FE1-3371-9F1D-B6DD2DBB35A9}"/>
            </a:ext>
          </a:extLst>
        </xdr:cNvPr>
        <xdr:cNvSpPr txBox="1"/>
      </xdr:nvSpPr>
      <xdr:spPr>
        <a:xfrm>
          <a:off x="3665220" y="1219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KZ" sz="1100"/>
        </a:p>
      </xdr:txBody>
    </xdr:sp>
    <xdr:clientData/>
  </xdr:oneCellAnchor>
  <xdr:twoCellAnchor>
    <xdr:from>
      <xdr:col>3</xdr:col>
      <xdr:colOff>754380</xdr:colOff>
      <xdr:row>1</xdr:row>
      <xdr:rowOff>99060</xdr:rowOff>
    </xdr:from>
    <xdr:to>
      <xdr:col>5</xdr:col>
      <xdr:colOff>457200</xdr:colOff>
      <xdr:row>2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65A015-7AD1-5FE2-25D2-1D437798D386}"/>
            </a:ext>
          </a:extLst>
        </xdr:cNvPr>
        <xdr:cNvSpPr txBox="1"/>
      </xdr:nvSpPr>
      <xdr:spPr>
        <a:xfrm>
          <a:off x="2545080" y="487680"/>
          <a:ext cx="140970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KZ" sz="1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Общая выручка, $</a:t>
          </a:r>
          <a:r>
            <a:rPr lang="ru-KZ" sz="120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endParaRPr lang="ru-KZ" sz="1200">
            <a:solidFill>
              <a:schemeClr val="tx1">
                <a:lumMod val="50000"/>
                <a:lumOff val="50000"/>
              </a:schemeClr>
            </a:solidFill>
            <a:effectLst/>
          </a:endParaRPr>
        </a:p>
        <a:p>
          <a:endParaRPr lang="ru-KZ" sz="1100"/>
        </a:p>
      </xdr:txBody>
    </xdr:sp>
    <xdr:clientData/>
  </xdr:twoCellAnchor>
  <xdr:twoCellAnchor>
    <xdr:from>
      <xdr:col>11</xdr:col>
      <xdr:colOff>175260</xdr:colOff>
      <xdr:row>1</xdr:row>
      <xdr:rowOff>53340</xdr:rowOff>
    </xdr:from>
    <xdr:to>
      <xdr:col>15</xdr:col>
      <xdr:colOff>0</xdr:colOff>
      <xdr:row>5</xdr:row>
      <xdr:rowOff>137160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0277F12A-C9FB-497E-9B5F-D53925BD65CF}"/>
            </a:ext>
          </a:extLst>
        </xdr:cNvPr>
        <xdr:cNvSpPr/>
      </xdr:nvSpPr>
      <xdr:spPr>
        <a:xfrm>
          <a:off x="8724900" y="441960"/>
          <a:ext cx="2827020" cy="81534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ru-KZ" sz="2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265</a:t>
          </a:r>
        </a:p>
        <a:p>
          <a:pPr algn="ctr"/>
          <a:endParaRPr lang="en-US" sz="2400"/>
        </a:p>
      </xdr:txBody>
    </xdr:sp>
    <xdr:clientData/>
  </xdr:twoCellAnchor>
  <xdr:twoCellAnchor>
    <xdr:from>
      <xdr:col>12</xdr:col>
      <xdr:colOff>617220</xdr:colOff>
      <xdr:row>1</xdr:row>
      <xdr:rowOff>99060</xdr:rowOff>
    </xdr:from>
    <xdr:to>
      <xdr:col>14</xdr:col>
      <xdr:colOff>175260</xdr:colOff>
      <xdr:row>2</xdr:row>
      <xdr:rowOff>175260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390EB4-3634-4E46-B736-28C960AFA0E7}"/>
            </a:ext>
          </a:extLst>
        </xdr:cNvPr>
        <xdr:cNvSpPr txBox="1"/>
      </xdr:nvSpPr>
      <xdr:spPr>
        <a:xfrm>
          <a:off x="9357360" y="487680"/>
          <a:ext cx="1432560" cy="259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KZ" sz="1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Кол-во</a:t>
          </a:r>
          <a:r>
            <a:rPr lang="ru-KZ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KZ" sz="1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продаж, $ </a:t>
          </a:r>
        </a:p>
      </xdr:txBody>
    </xdr:sp>
    <xdr:clientData/>
  </xdr:twoCellAnchor>
  <xdr:twoCellAnchor>
    <xdr:from>
      <xdr:col>8</xdr:col>
      <xdr:colOff>15240</xdr:colOff>
      <xdr:row>1</xdr:row>
      <xdr:rowOff>53340</xdr:rowOff>
    </xdr:from>
    <xdr:to>
      <xdr:col>11</xdr:col>
      <xdr:colOff>7620</xdr:colOff>
      <xdr:row>5</xdr:row>
      <xdr:rowOff>137160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01878D50-C18B-4017-95DB-3BAD41DC9F8D}"/>
            </a:ext>
          </a:extLst>
        </xdr:cNvPr>
        <xdr:cNvSpPr/>
      </xdr:nvSpPr>
      <xdr:spPr>
        <a:xfrm>
          <a:off x="5410200" y="441960"/>
          <a:ext cx="3147060" cy="81534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ru-KZ" sz="2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486,4150943</a:t>
          </a:r>
          <a:r>
            <a:rPr lang="ru-KZ" sz="2400">
              <a:effectLst/>
            </a:rPr>
            <a:t> </a:t>
          </a:r>
          <a:endParaRPr lang="ru-KZ" sz="2400" b="0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  <a:p>
          <a:pPr algn="ctr"/>
          <a:endParaRPr lang="en-US" sz="2400"/>
        </a:p>
      </xdr:txBody>
    </xdr:sp>
    <xdr:clientData/>
  </xdr:twoCellAnchor>
  <xdr:twoCellAnchor>
    <xdr:from>
      <xdr:col>8</xdr:col>
      <xdr:colOff>693420</xdr:colOff>
      <xdr:row>1</xdr:row>
      <xdr:rowOff>99060</xdr:rowOff>
    </xdr:from>
    <xdr:to>
      <xdr:col>10</xdr:col>
      <xdr:colOff>396240</xdr:colOff>
      <xdr:row>3</xdr:row>
      <xdr:rowOff>137160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2B453A2-19AB-46F3-8E45-F23984E33F0D}"/>
            </a:ext>
          </a:extLst>
        </xdr:cNvPr>
        <xdr:cNvSpPr txBox="1"/>
      </xdr:nvSpPr>
      <xdr:spPr>
        <a:xfrm>
          <a:off x="6088380" y="487680"/>
          <a:ext cx="180594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KZ" sz="1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Сред.стоимость курса, $ </a:t>
          </a:r>
        </a:p>
      </xdr:txBody>
    </xdr:sp>
    <xdr:clientData/>
  </xdr:twoCellAnchor>
  <xdr:twoCellAnchor>
    <xdr:from>
      <xdr:col>16</xdr:col>
      <xdr:colOff>15240</xdr:colOff>
      <xdr:row>1</xdr:row>
      <xdr:rowOff>53340</xdr:rowOff>
    </xdr:from>
    <xdr:to>
      <xdr:col>21</xdr:col>
      <xdr:colOff>38100</xdr:colOff>
      <xdr:row>5</xdr:row>
      <xdr:rowOff>137160</xdr:rowOff>
    </xdr:to>
    <xdr:sp macro="" textlink="'СВОДНЫЕ ТАБ'!H20">
      <xdr:nvSpPr>
        <xdr:cNvPr id="16" name="Прямоугольник 15">
          <a:extLst>
            <a:ext uri="{FF2B5EF4-FFF2-40B4-BE49-F238E27FC236}">
              <a16:creationId xmlns:a16="http://schemas.microsoft.com/office/drawing/2014/main" id="{D93FE798-BA6E-4AEF-9DF3-DD358F7A8B39}"/>
            </a:ext>
          </a:extLst>
        </xdr:cNvPr>
        <xdr:cNvSpPr/>
      </xdr:nvSpPr>
      <xdr:spPr>
        <a:xfrm>
          <a:off x="11757660" y="441960"/>
          <a:ext cx="3070860" cy="815340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marL="0" indent="0" algn="ctr"/>
          <a:fld id="{08B4C22A-0DB4-4809-BE98-E73CE1A870AB}" type="TxLink">
            <a:rPr lang="en-US" sz="2400" b="0" i="0" u="none" strike="noStrike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pPr marL="0" indent="0" algn="ctr"/>
            <a:t>Power BI</a:t>
          </a:fld>
          <a:endParaRPr lang="en-US" sz="2400" b="0" i="0" u="none" strike="noStrike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556260</xdr:colOff>
      <xdr:row>1</xdr:row>
      <xdr:rowOff>99060</xdr:rowOff>
    </xdr:from>
    <xdr:to>
      <xdr:col>20</xdr:col>
      <xdr:colOff>121920</xdr:colOff>
      <xdr:row>3</xdr:row>
      <xdr:rowOff>53340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0C584B8-7A29-4DD4-A8A0-10C093C401AD}"/>
            </a:ext>
          </a:extLst>
        </xdr:cNvPr>
        <xdr:cNvSpPr txBox="1"/>
      </xdr:nvSpPr>
      <xdr:spPr>
        <a:xfrm>
          <a:off x="12298680" y="487680"/>
          <a:ext cx="200406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KZ" sz="1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Топовый курс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7.896196412039" createdVersion="8" refreshedVersion="8" minRefreshableVersion="3" recordCount="265" xr:uid="{DE1856E0-8EE9-44DA-9215-39AF2ABE0444}">
  <cacheSource type="worksheet">
    <worksheetSource ref="A2:J267" sheet="лист 1"/>
  </cacheSource>
  <cacheFields count="11">
    <cacheField name="ID студента" numFmtId="0">
      <sharedItems containsSemiMixedTypes="0" containsString="0" containsNumber="1" containsInteger="1" minValue="1004" maxValue="1581"/>
    </cacheField>
    <cacheField name="ФИО студента" numFmtId="0">
      <sharedItems/>
    </cacheField>
    <cacheField name="Дата рождения" numFmtId="14">
      <sharedItems containsSemiMixedTypes="0" containsNonDate="0" containsDate="1" containsString="0" minDate="1958-06-05T00:00:00" maxDate="2006-09-08T00:00:00"/>
    </cacheField>
    <cacheField name="Город" numFmtId="0">
      <sharedItems count="7">
        <s v="Атырау"/>
        <s v="Астана"/>
        <s v="Алматы"/>
        <s v="Костанай"/>
        <s v="Караганда"/>
        <s v="Шымкент"/>
        <s v="Оскемен"/>
      </sharedItems>
    </cacheField>
    <cacheField name="Название курса" numFmtId="0">
      <sharedItems count="5">
        <s v="AI"/>
        <s v="Excel"/>
        <s v="Power BI"/>
        <s v="Python"/>
        <s v="SQL"/>
      </sharedItems>
    </cacheField>
    <cacheField name="Дата покупки" numFmtId="14">
      <sharedItems containsSemiMixedTypes="0" containsNonDate="0" containsDate="1" containsString="0" minDate="2023-04-04T00:00:00" maxDate="2023-04-05T00:00:00" count="1">
        <d v="2023-04-04T00:00:00"/>
      </sharedItems>
    </cacheField>
    <cacheField name="Тип заказа" numFmtId="14">
      <sharedItems count="1">
        <s v="вебинар"/>
      </sharedItems>
    </cacheField>
    <cacheField name="Стоимость курса, $" numFmtId="0">
      <sharedItems containsSemiMixedTypes="0" containsString="0" containsNumber="1" containsInteger="1" minValue="150" maxValue="600" count="4">
        <n v="150"/>
        <n v="400"/>
        <n v="600"/>
        <n v="500"/>
      </sharedItems>
    </cacheField>
    <cacheField name="Скидка, %" numFmtId="9">
      <sharedItems containsSemiMixedTypes="0" containsString="0" containsNumber="1" minValue="0.1" maxValue="0.1"/>
    </cacheField>
    <cacheField name="Оплата за курс, $" numFmtId="1">
      <sharedItems containsSemiMixedTypes="0" containsString="0" containsNumber="1" containsInteger="1" minValue="135" maxValue="540"/>
    </cacheField>
    <cacheField name="скидка" numFmtId="0" formula="'Стоимость курса, $'-'Оплата за курс, $'" databaseField="0"/>
  </cacheFields>
  <extLst>
    <ext xmlns:x14="http://schemas.microsoft.com/office/spreadsheetml/2009/9/main" uri="{725AE2AE-9491-48be-B2B4-4EB974FC3084}">
      <x14:pivotCacheDefinition pivotCacheId="250755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">
  <r>
    <n v="1542"/>
    <s v="Дарина Волкова"/>
    <d v="1990-03-08T00:00:00"/>
    <x v="0"/>
    <x v="0"/>
    <x v="0"/>
    <x v="0"/>
    <x v="0"/>
    <n v="0.1"/>
    <n v="135"/>
  </r>
  <r>
    <n v="1547"/>
    <s v="Елена Павлова"/>
    <d v="1985-05-13T00:00:00"/>
    <x v="0"/>
    <x v="0"/>
    <x v="0"/>
    <x v="0"/>
    <x v="0"/>
    <n v="0.1"/>
    <n v="135"/>
  </r>
  <r>
    <n v="1185"/>
    <s v="Айдана Абдукаримова"/>
    <d v="1966-05-26T00:00:00"/>
    <x v="0"/>
    <x v="0"/>
    <x v="0"/>
    <x v="0"/>
    <x v="0"/>
    <n v="0.1"/>
    <n v="135"/>
  </r>
  <r>
    <n v="1190"/>
    <s v="Алишер Бейсенов"/>
    <d v="1962-01-05T00:00:00"/>
    <x v="1"/>
    <x v="0"/>
    <x v="0"/>
    <x v="0"/>
    <x v="0"/>
    <n v="0.1"/>
    <n v="135"/>
  </r>
  <r>
    <n v="1195"/>
    <s v="Дильназ Темиргалиева"/>
    <d v="1973-08-05T00:00:00"/>
    <x v="2"/>
    <x v="0"/>
    <x v="0"/>
    <x v="0"/>
    <x v="0"/>
    <n v="0.1"/>
    <n v="135"/>
  </r>
  <r>
    <n v="1210"/>
    <s v="Нургиса Бекзатова"/>
    <d v="1983-11-22T00:00:00"/>
    <x v="0"/>
    <x v="0"/>
    <x v="0"/>
    <x v="0"/>
    <x v="0"/>
    <n v="0.1"/>
    <n v="135"/>
  </r>
  <r>
    <n v="1215"/>
    <s v="Алишер Бекзатов"/>
    <d v="1987-10-21T00:00:00"/>
    <x v="0"/>
    <x v="0"/>
    <x v="0"/>
    <x v="0"/>
    <x v="0"/>
    <n v="0.1"/>
    <n v="135"/>
  </r>
  <r>
    <n v="1290"/>
    <s v="Нуржан Абдукаримов"/>
    <d v="1990-10-02T00:00:00"/>
    <x v="1"/>
    <x v="0"/>
    <x v="0"/>
    <x v="0"/>
    <x v="0"/>
    <n v="0.1"/>
    <n v="135"/>
  </r>
  <r>
    <n v="1220"/>
    <s v="Нургиса Темирбекова"/>
    <d v="1968-01-24T00:00:00"/>
    <x v="2"/>
    <x v="0"/>
    <x v="0"/>
    <x v="0"/>
    <x v="0"/>
    <n v="0.1"/>
    <n v="135"/>
  </r>
  <r>
    <n v="1295"/>
    <s v="Айзада Бекболатова"/>
    <d v="1967-11-29T00:00:00"/>
    <x v="1"/>
    <x v="0"/>
    <x v="0"/>
    <x v="0"/>
    <x v="0"/>
    <n v="0.1"/>
    <n v="135"/>
  </r>
  <r>
    <n v="1310"/>
    <s v="Дамир Абдукаримов"/>
    <d v="1967-12-08T00:00:00"/>
    <x v="0"/>
    <x v="0"/>
    <x v="0"/>
    <x v="0"/>
    <x v="0"/>
    <n v="0.1"/>
    <n v="135"/>
  </r>
  <r>
    <n v="1552"/>
    <s v="Алексей Попов"/>
    <d v="2005-07-15T00:00:00"/>
    <x v="1"/>
    <x v="0"/>
    <x v="0"/>
    <x v="0"/>
    <x v="0"/>
    <n v="0.1"/>
    <n v="135"/>
  </r>
  <r>
    <n v="1200"/>
    <s v="Нургиса Бекзатова"/>
    <d v="1981-02-08T00:00:00"/>
    <x v="0"/>
    <x v="0"/>
    <x v="0"/>
    <x v="0"/>
    <x v="0"/>
    <n v="0.1"/>
    <n v="135"/>
  </r>
  <r>
    <n v="1205"/>
    <s v="Айгерим Бекзатова"/>
    <d v="1991-09-13T00:00:00"/>
    <x v="0"/>
    <x v="0"/>
    <x v="0"/>
    <x v="0"/>
    <x v="0"/>
    <n v="0.1"/>
    <n v="135"/>
  </r>
  <r>
    <n v="1300"/>
    <s v="Данияр Темирбеков"/>
    <d v="1998-07-13T00:00:00"/>
    <x v="0"/>
    <x v="0"/>
    <x v="0"/>
    <x v="0"/>
    <x v="0"/>
    <n v="0.1"/>
    <n v="135"/>
  </r>
  <r>
    <n v="1557"/>
    <s v="Светлана Николаева"/>
    <d v="2004-06-19T00:00:00"/>
    <x v="0"/>
    <x v="0"/>
    <x v="0"/>
    <x v="0"/>
    <x v="0"/>
    <n v="0.1"/>
    <n v="135"/>
  </r>
  <r>
    <n v="1315"/>
    <s v="Данияр Темиргалиев"/>
    <d v="1976-01-06T00:00:00"/>
    <x v="0"/>
    <x v="0"/>
    <x v="0"/>
    <x v="0"/>
    <x v="0"/>
    <n v="0.1"/>
    <n v="135"/>
  </r>
  <r>
    <n v="1320"/>
    <s v="Дамир Абдукаримов"/>
    <d v="1961-08-08T00:00:00"/>
    <x v="1"/>
    <x v="0"/>
    <x v="0"/>
    <x v="0"/>
    <x v="0"/>
    <n v="0.1"/>
    <n v="135"/>
  </r>
  <r>
    <n v="1372"/>
    <s v="Сабина Амангельдиева"/>
    <d v="1962-02-04T00:00:00"/>
    <x v="0"/>
    <x v="1"/>
    <x v="0"/>
    <x v="0"/>
    <x v="1"/>
    <n v="0.1"/>
    <n v="360"/>
  </r>
  <r>
    <n v="1430"/>
    <s v="Ирина Смирнова"/>
    <d v="1998-12-10T00:00:00"/>
    <x v="0"/>
    <x v="1"/>
    <x v="0"/>
    <x v="0"/>
    <x v="1"/>
    <n v="0.1"/>
    <n v="360"/>
  </r>
  <r>
    <n v="1448"/>
    <s v="Нина Смирнова"/>
    <d v="1982-07-16T00:00:00"/>
    <x v="0"/>
    <x v="1"/>
    <x v="0"/>
    <x v="0"/>
    <x v="1"/>
    <n v="0.1"/>
    <n v="360"/>
  </r>
  <r>
    <n v="1435"/>
    <s v="Наталья Петрова"/>
    <d v="1961-03-10T00:00:00"/>
    <x v="0"/>
    <x v="1"/>
    <x v="0"/>
    <x v="0"/>
    <x v="1"/>
    <n v="0.1"/>
    <n v="360"/>
  </r>
  <r>
    <n v="1453"/>
    <s v="Людмила Смирнова"/>
    <d v="1998-06-08T00:00:00"/>
    <x v="0"/>
    <x v="1"/>
    <x v="0"/>
    <x v="0"/>
    <x v="1"/>
    <n v="0.1"/>
    <n v="360"/>
  </r>
  <r>
    <n v="1004"/>
    <s v="Нуржан Баймуратов"/>
    <d v="1995-11-21T00:00:00"/>
    <x v="1"/>
    <x v="1"/>
    <x v="0"/>
    <x v="0"/>
    <x v="1"/>
    <n v="0.1"/>
    <n v="360"/>
  </r>
  <r>
    <n v="1009"/>
    <s v="Арсен Сабыржанов"/>
    <d v="1969-10-14T00:00:00"/>
    <x v="1"/>
    <x v="1"/>
    <x v="0"/>
    <x v="0"/>
    <x v="1"/>
    <n v="0.1"/>
    <n v="360"/>
  </r>
  <r>
    <n v="1029"/>
    <s v="Аружан Сабыржанова"/>
    <d v="1986-04-07T00:00:00"/>
    <x v="2"/>
    <x v="1"/>
    <x v="0"/>
    <x v="0"/>
    <x v="1"/>
    <n v="0.1"/>
    <n v="360"/>
  </r>
  <r>
    <n v="1035"/>
    <s v="Аружан Сатыбалдина"/>
    <d v="2002-03-06T00:00:00"/>
    <x v="1"/>
    <x v="1"/>
    <x v="0"/>
    <x v="0"/>
    <x v="1"/>
    <n v="0.1"/>
    <n v="360"/>
  </r>
  <r>
    <n v="1043"/>
    <s v="Данияр Абишев"/>
    <d v="1977-01-10T00:00:00"/>
    <x v="1"/>
    <x v="1"/>
    <x v="0"/>
    <x v="0"/>
    <x v="1"/>
    <n v="0.1"/>
    <n v="360"/>
  </r>
  <r>
    <n v="1051"/>
    <s v="Айдана Ажмуканова"/>
    <d v="2000-08-22T00:00:00"/>
    <x v="1"/>
    <x v="1"/>
    <x v="0"/>
    <x v="0"/>
    <x v="1"/>
    <n v="0.1"/>
    <n v="360"/>
  </r>
  <r>
    <n v="1054"/>
    <s v="Аружан Амангелдиева"/>
    <d v="2002-11-29T00:00:00"/>
    <x v="2"/>
    <x v="1"/>
    <x v="0"/>
    <x v="0"/>
    <x v="1"/>
    <n v="0.1"/>
    <n v="360"/>
  </r>
  <r>
    <n v="1058"/>
    <s v="Алтынай Амирова"/>
    <d v="1993-10-21T00:00:00"/>
    <x v="1"/>
    <x v="1"/>
    <x v="0"/>
    <x v="0"/>
    <x v="1"/>
    <n v="0.1"/>
    <n v="360"/>
  </r>
  <r>
    <n v="1062"/>
    <s v="Анель Асылханова"/>
    <d v="1979-12-04T00:00:00"/>
    <x v="1"/>
    <x v="1"/>
    <x v="0"/>
    <x v="0"/>
    <x v="1"/>
    <n v="0.1"/>
    <n v="360"/>
  </r>
  <r>
    <n v="1065"/>
    <s v="Айгерим Баймухамедова"/>
    <d v="1980-12-05T00:00:00"/>
    <x v="1"/>
    <x v="1"/>
    <x v="0"/>
    <x v="0"/>
    <x v="1"/>
    <n v="0.1"/>
    <n v="360"/>
  </r>
  <r>
    <n v="1067"/>
    <s v="Дамир Байназаров"/>
    <d v="1985-07-24T00:00:00"/>
    <x v="2"/>
    <x v="1"/>
    <x v="0"/>
    <x v="0"/>
    <x v="1"/>
    <n v="0.1"/>
    <n v="360"/>
  </r>
  <r>
    <n v="1072"/>
    <s v="Айдана Байтурсынова"/>
    <d v="1963-03-27T00:00:00"/>
    <x v="1"/>
    <x v="1"/>
    <x v="0"/>
    <x v="0"/>
    <x v="1"/>
    <n v="0.1"/>
    <n v="360"/>
  </r>
  <r>
    <n v="1075"/>
    <s v="Айнур Бакирова"/>
    <d v="1981-11-20T00:00:00"/>
    <x v="2"/>
    <x v="1"/>
    <x v="0"/>
    <x v="0"/>
    <x v="1"/>
    <n v="0.1"/>
    <n v="360"/>
  </r>
  <r>
    <n v="1077"/>
    <s v="Айгерим Балякбаева"/>
    <d v="1981-11-22T00:00:00"/>
    <x v="2"/>
    <x v="1"/>
    <x v="0"/>
    <x v="0"/>
    <x v="1"/>
    <n v="0.1"/>
    <n v="360"/>
  </r>
  <r>
    <n v="1080"/>
    <s v="Айгерим Баратова"/>
    <d v="1985-10-10T00:00:00"/>
    <x v="2"/>
    <x v="1"/>
    <x v="0"/>
    <x v="0"/>
    <x v="1"/>
    <n v="0.1"/>
    <n v="360"/>
  </r>
  <r>
    <n v="1082"/>
    <s v="Данияр Бахытжанов"/>
    <d v="2005-01-07T00:00:00"/>
    <x v="1"/>
    <x v="1"/>
    <x v="0"/>
    <x v="0"/>
    <x v="1"/>
    <n v="0.1"/>
    <n v="360"/>
  </r>
  <r>
    <n v="1085"/>
    <s v="Айгерим Бейсенова"/>
    <d v="1958-09-17T00:00:00"/>
    <x v="2"/>
    <x v="1"/>
    <x v="0"/>
    <x v="0"/>
    <x v="1"/>
    <n v="0.1"/>
    <n v="360"/>
  </r>
  <r>
    <n v="1539"/>
    <s v="Евгений Коваленко"/>
    <d v="1979-03-05T00:00:00"/>
    <x v="2"/>
    <x v="1"/>
    <x v="0"/>
    <x v="0"/>
    <x v="1"/>
    <n v="0.1"/>
    <n v="360"/>
  </r>
  <r>
    <n v="1115"/>
    <s v="Айдана Мусаева"/>
    <d v="1973-04-10T00:00:00"/>
    <x v="2"/>
    <x v="1"/>
    <x v="0"/>
    <x v="0"/>
    <x v="1"/>
    <n v="0.1"/>
    <n v="360"/>
  </r>
  <r>
    <n v="1117"/>
    <s v="Бакдаулет Сейланбаев"/>
    <d v="1989-04-28T00:00:00"/>
    <x v="1"/>
    <x v="1"/>
    <x v="0"/>
    <x v="0"/>
    <x v="1"/>
    <n v="0.1"/>
    <n v="360"/>
  </r>
  <r>
    <n v="1120"/>
    <s v="Аружан Мусинова"/>
    <d v="1968-09-21T00:00:00"/>
    <x v="3"/>
    <x v="1"/>
    <x v="0"/>
    <x v="0"/>
    <x v="1"/>
    <n v="0.1"/>
    <n v="360"/>
  </r>
  <r>
    <n v="1122"/>
    <s v="Дамир Сейланбаев"/>
    <d v="1977-01-05T00:00:00"/>
    <x v="2"/>
    <x v="1"/>
    <x v="0"/>
    <x v="0"/>
    <x v="1"/>
    <n v="0.1"/>
    <n v="360"/>
  </r>
  <r>
    <n v="1292"/>
    <s v="Айжан Темиргалиева"/>
    <d v="1976-02-04T00:00:00"/>
    <x v="1"/>
    <x v="1"/>
    <x v="0"/>
    <x v="0"/>
    <x v="1"/>
    <n v="0.1"/>
    <n v="360"/>
  </r>
  <r>
    <n v="1544"/>
    <s v="Антон Иванович"/>
    <d v="2000-12-19T00:00:00"/>
    <x v="1"/>
    <x v="1"/>
    <x v="0"/>
    <x v="0"/>
    <x v="1"/>
    <n v="0.1"/>
    <n v="360"/>
  </r>
  <r>
    <n v="1312"/>
    <s v="Айнур Касымбаева"/>
    <d v="1961-11-10T00:00:00"/>
    <x v="1"/>
    <x v="1"/>
    <x v="0"/>
    <x v="0"/>
    <x v="1"/>
    <n v="0.1"/>
    <n v="360"/>
  </r>
  <r>
    <n v="1549"/>
    <s v="Ольга Иванова"/>
    <d v="1992-03-19T00:00:00"/>
    <x v="3"/>
    <x v="1"/>
    <x v="0"/>
    <x v="0"/>
    <x v="1"/>
    <n v="0.1"/>
    <n v="360"/>
  </r>
  <r>
    <n v="1187"/>
    <s v="Саят Темирбеков"/>
    <d v="1998-09-21T00:00:00"/>
    <x v="4"/>
    <x v="1"/>
    <x v="0"/>
    <x v="0"/>
    <x v="1"/>
    <n v="0.1"/>
    <n v="360"/>
  </r>
  <r>
    <n v="1192"/>
    <s v="Нургиса Касымбаева"/>
    <d v="1974-06-30T00:00:00"/>
    <x v="5"/>
    <x v="1"/>
    <x v="0"/>
    <x v="0"/>
    <x v="1"/>
    <n v="0.1"/>
    <n v="360"/>
  </r>
  <r>
    <n v="1197"/>
    <s v="Нуржан Амангельдиева"/>
    <d v="1978-08-22T00:00:00"/>
    <x v="1"/>
    <x v="1"/>
    <x v="0"/>
    <x v="0"/>
    <x v="1"/>
    <n v="0.1"/>
    <n v="360"/>
  </r>
  <r>
    <n v="1554"/>
    <s v="Артем Чернов"/>
    <d v="1994-04-06T00:00:00"/>
    <x v="0"/>
    <x v="1"/>
    <x v="0"/>
    <x v="0"/>
    <x v="1"/>
    <n v="0.1"/>
    <n v="360"/>
  </r>
  <r>
    <n v="1212"/>
    <s v="Нуржана Бекзатова"/>
    <d v="1974-01-28T00:00:00"/>
    <x v="0"/>
    <x v="1"/>
    <x v="0"/>
    <x v="0"/>
    <x v="1"/>
    <n v="0.1"/>
    <n v="360"/>
  </r>
  <r>
    <n v="1217"/>
    <s v="Дильназ Абдукаримова"/>
    <d v="1971-09-10T00:00:00"/>
    <x v="5"/>
    <x v="1"/>
    <x v="0"/>
    <x v="0"/>
    <x v="1"/>
    <n v="0.1"/>
    <n v="360"/>
  </r>
  <r>
    <n v="1297"/>
    <s v="Айнур Куанышева"/>
    <d v="1987-12-07T00:00:00"/>
    <x v="2"/>
    <x v="1"/>
    <x v="0"/>
    <x v="0"/>
    <x v="1"/>
    <n v="0.1"/>
    <n v="360"/>
  </r>
  <r>
    <n v="1559"/>
    <s v="Наталья Васильева"/>
    <d v="1970-08-25T00:00:00"/>
    <x v="0"/>
    <x v="1"/>
    <x v="0"/>
    <x v="0"/>
    <x v="1"/>
    <n v="0.1"/>
    <n v="360"/>
  </r>
  <r>
    <n v="1317"/>
    <s v="Алишер Сырымбетов"/>
    <d v="1972-11-16T00:00:00"/>
    <x v="0"/>
    <x v="1"/>
    <x v="0"/>
    <x v="0"/>
    <x v="1"/>
    <n v="0.1"/>
    <n v="360"/>
  </r>
  <r>
    <n v="1384"/>
    <s v="Айжан Мухтарова"/>
    <d v="1960-09-06T00:00:00"/>
    <x v="2"/>
    <x v="1"/>
    <x v="0"/>
    <x v="0"/>
    <x v="1"/>
    <n v="0.1"/>
    <n v="360"/>
  </r>
  <r>
    <n v="1389"/>
    <s v="Мария Амангельдиева"/>
    <d v="1971-09-26T00:00:00"/>
    <x v="2"/>
    <x v="1"/>
    <x v="0"/>
    <x v="0"/>
    <x v="1"/>
    <n v="0.1"/>
    <n v="360"/>
  </r>
  <r>
    <n v="1437"/>
    <s v="Сергей Иванов"/>
    <d v="1959-02-04T00:00:00"/>
    <x v="2"/>
    <x v="1"/>
    <x v="0"/>
    <x v="0"/>
    <x v="1"/>
    <n v="0.1"/>
    <n v="360"/>
  </r>
  <r>
    <n v="1473"/>
    <s v="Александр Смирнов"/>
    <d v="1988-11-27T00:00:00"/>
    <x v="2"/>
    <x v="1"/>
    <x v="0"/>
    <x v="0"/>
    <x v="1"/>
    <n v="0.1"/>
    <n v="360"/>
  </r>
  <r>
    <n v="1577"/>
    <s v="Сергей Петров"/>
    <d v="2004-05-17T00:00:00"/>
    <x v="0"/>
    <x v="1"/>
    <x v="0"/>
    <x v="0"/>
    <x v="1"/>
    <n v="0.1"/>
    <n v="360"/>
  </r>
  <r>
    <n v="1360"/>
    <s v="Айдана Касымбаева"/>
    <d v="2004-05-19T00:00:00"/>
    <x v="0"/>
    <x v="1"/>
    <x v="0"/>
    <x v="0"/>
    <x v="1"/>
    <n v="0.1"/>
    <n v="360"/>
  </r>
  <r>
    <n v="1458"/>
    <s v="Виктор Иванов"/>
    <d v="1973-12-02T00:00:00"/>
    <x v="1"/>
    <x v="1"/>
    <x v="0"/>
    <x v="0"/>
    <x v="1"/>
    <n v="0.1"/>
    <n v="360"/>
  </r>
  <r>
    <n v="1202"/>
    <s v="Айгерим Темиргалиева"/>
    <d v="1964-10-09T00:00:00"/>
    <x v="2"/>
    <x v="1"/>
    <x v="0"/>
    <x v="0"/>
    <x v="1"/>
    <n v="0.1"/>
    <n v="360"/>
  </r>
  <r>
    <n v="1402"/>
    <s v="Айжан Смагулова"/>
    <d v="2000-04-25T00:00:00"/>
    <x v="2"/>
    <x v="1"/>
    <x v="0"/>
    <x v="0"/>
    <x v="1"/>
    <n v="0.1"/>
    <n v="360"/>
  </r>
  <r>
    <n v="1207"/>
    <s v="Дильназ Амангельдиева"/>
    <d v="2005-03-09T00:00:00"/>
    <x v="1"/>
    <x v="1"/>
    <x v="0"/>
    <x v="0"/>
    <x v="1"/>
    <n v="0.1"/>
    <n v="360"/>
  </r>
  <r>
    <n v="1365"/>
    <s v="Алишер Сырымбетов"/>
    <d v="1963-05-14T00:00:00"/>
    <x v="1"/>
    <x v="1"/>
    <x v="0"/>
    <x v="0"/>
    <x v="1"/>
    <n v="0.1"/>
    <n v="360"/>
  </r>
  <r>
    <n v="1322"/>
    <s v="Айжан Темиргалиева"/>
    <d v="1985-12-28T00:00:00"/>
    <x v="1"/>
    <x v="1"/>
    <x v="0"/>
    <x v="0"/>
    <x v="1"/>
    <n v="0.1"/>
    <n v="360"/>
  </r>
  <r>
    <n v="1562"/>
    <s v="Дмитрий Попов"/>
    <d v="1977-10-19T00:00:00"/>
    <x v="2"/>
    <x v="1"/>
    <x v="0"/>
    <x v="0"/>
    <x v="1"/>
    <n v="0.1"/>
    <n v="360"/>
  </r>
  <r>
    <n v="1564"/>
    <s v="Сергей Чернов"/>
    <d v="1969-02-21T00:00:00"/>
    <x v="2"/>
    <x v="1"/>
    <x v="0"/>
    <x v="0"/>
    <x v="1"/>
    <n v="0.1"/>
    <n v="360"/>
  </r>
  <r>
    <n v="1427"/>
    <s v="Андрей Иванов"/>
    <d v="1961-04-03T00:00:00"/>
    <x v="2"/>
    <x v="1"/>
    <x v="0"/>
    <x v="0"/>
    <x v="1"/>
    <n v="0.1"/>
    <n v="360"/>
  </r>
  <r>
    <n v="1369"/>
    <s v="Расул Мухамедов"/>
    <d v="1973-08-06T00:00:00"/>
    <x v="1"/>
    <x v="1"/>
    <x v="0"/>
    <x v="0"/>
    <x v="1"/>
    <n v="0.1"/>
    <n v="360"/>
  </r>
  <r>
    <n v="1445"/>
    <s v="Артем Иванов"/>
    <d v="1986-06-23T00:00:00"/>
    <x v="1"/>
    <x v="1"/>
    <x v="0"/>
    <x v="0"/>
    <x v="1"/>
    <n v="0.1"/>
    <n v="360"/>
  </r>
  <r>
    <n v="1463"/>
    <s v="Анастасия Петрова"/>
    <d v="1980-09-08T00:00:00"/>
    <x v="1"/>
    <x v="1"/>
    <x v="0"/>
    <x v="0"/>
    <x v="1"/>
    <n v="0.1"/>
    <n v="360"/>
  </r>
  <r>
    <n v="1374"/>
    <s v="Динара Мирзабекова"/>
    <d v="1984-05-05T00:00:00"/>
    <x v="2"/>
    <x v="1"/>
    <x v="0"/>
    <x v="0"/>
    <x v="1"/>
    <n v="0.1"/>
    <n v="360"/>
  </r>
  <r>
    <n v="1567"/>
    <s v="Михаил Попов"/>
    <d v="1998-05-17T00:00:00"/>
    <x v="0"/>
    <x v="1"/>
    <x v="0"/>
    <x v="0"/>
    <x v="1"/>
    <n v="0.1"/>
    <n v="360"/>
  </r>
  <r>
    <n v="1465"/>
    <s v="Мария Смирнова"/>
    <d v="2000-01-13T00:00:00"/>
    <x v="1"/>
    <x v="1"/>
    <x v="0"/>
    <x v="0"/>
    <x v="1"/>
    <n v="0.1"/>
    <n v="360"/>
  </r>
  <r>
    <n v="1377"/>
    <s v="Айгерим Темиргалиева"/>
    <d v="1976-10-09T00:00:00"/>
    <x v="1"/>
    <x v="1"/>
    <x v="0"/>
    <x v="0"/>
    <x v="1"/>
    <n v="0.1"/>
    <n v="360"/>
  </r>
  <r>
    <n v="1569"/>
    <s v="Александр Васильев"/>
    <d v="1971-03-30T00:00:00"/>
    <x v="2"/>
    <x v="1"/>
    <x v="0"/>
    <x v="0"/>
    <x v="1"/>
    <n v="0.1"/>
    <n v="360"/>
  </r>
  <r>
    <n v="1379"/>
    <s v="Амина Амангельдиева"/>
    <d v="2006-01-26T00:00:00"/>
    <x v="1"/>
    <x v="1"/>
    <x v="0"/>
    <x v="0"/>
    <x v="1"/>
    <n v="0.1"/>
    <n v="360"/>
  </r>
  <r>
    <n v="1432"/>
    <s v="Андрей Смирнов"/>
    <d v="1970-06-20T00:00:00"/>
    <x v="2"/>
    <x v="1"/>
    <x v="0"/>
    <x v="0"/>
    <x v="1"/>
    <n v="0.1"/>
    <n v="360"/>
  </r>
  <r>
    <n v="1450"/>
    <s v="Владимир Иванов"/>
    <d v="1986-09-30T00:00:00"/>
    <x v="1"/>
    <x v="1"/>
    <x v="0"/>
    <x v="0"/>
    <x v="1"/>
    <n v="0.1"/>
    <n v="360"/>
  </r>
  <r>
    <n v="1382"/>
    <s v="Динара Султанова"/>
    <d v="1958-06-05T00:00:00"/>
    <x v="2"/>
    <x v="1"/>
    <x v="0"/>
    <x v="0"/>
    <x v="1"/>
    <n v="0.1"/>
    <n v="360"/>
  </r>
  <r>
    <n v="1468"/>
    <s v="Ирина Иванова"/>
    <d v="1974-10-22T00:00:00"/>
    <x v="1"/>
    <x v="1"/>
    <x v="0"/>
    <x v="0"/>
    <x v="1"/>
    <n v="0.1"/>
    <n v="360"/>
  </r>
  <r>
    <n v="1572"/>
    <s v="Екатерина Ковалева"/>
    <d v="1988-08-18T00:00:00"/>
    <x v="0"/>
    <x v="1"/>
    <x v="0"/>
    <x v="0"/>
    <x v="1"/>
    <n v="0.1"/>
    <n v="360"/>
  </r>
  <r>
    <n v="1387"/>
    <s v="Айнур Султанова"/>
    <d v="1981-12-21T00:00:00"/>
    <x v="0"/>
    <x v="1"/>
    <x v="0"/>
    <x v="0"/>
    <x v="1"/>
    <n v="0.1"/>
    <n v="360"/>
  </r>
  <r>
    <n v="1470"/>
    <s v="Ольга Кузнецова"/>
    <d v="2000-06-11T00:00:00"/>
    <x v="1"/>
    <x v="1"/>
    <x v="0"/>
    <x v="0"/>
    <x v="1"/>
    <n v="0.1"/>
    <n v="360"/>
  </r>
  <r>
    <n v="1574"/>
    <s v="Мария Новикова"/>
    <d v="1963-05-02T00:00:00"/>
    <x v="1"/>
    <x v="1"/>
    <x v="0"/>
    <x v="0"/>
    <x v="1"/>
    <n v="0.1"/>
    <n v="360"/>
  </r>
  <r>
    <n v="1392"/>
    <s v="Рустем Бекзатов"/>
    <d v="2003-05-10T00:00:00"/>
    <x v="1"/>
    <x v="1"/>
    <x v="0"/>
    <x v="0"/>
    <x v="1"/>
    <n v="0.1"/>
    <n v="360"/>
  </r>
  <r>
    <n v="1440"/>
    <s v="Ирина Петрова"/>
    <d v="1970-03-05T00:00:00"/>
    <x v="1"/>
    <x v="1"/>
    <x v="0"/>
    <x v="0"/>
    <x v="1"/>
    <n v="0.1"/>
    <n v="360"/>
  </r>
  <r>
    <n v="1397"/>
    <s v="Алишер Бекзатов"/>
    <d v="2004-09-20T00:00:00"/>
    <x v="0"/>
    <x v="2"/>
    <x v="0"/>
    <x v="0"/>
    <x v="2"/>
    <n v="0.1"/>
    <n v="540"/>
  </r>
  <r>
    <n v="1546"/>
    <s v="Михаил Андреев"/>
    <d v="1979-10-05T00:00:00"/>
    <x v="2"/>
    <x v="2"/>
    <x v="0"/>
    <x v="0"/>
    <x v="2"/>
    <n v="0.1"/>
    <n v="540"/>
  </r>
  <r>
    <n v="1475"/>
    <s v="Ринат Кузнецов"/>
    <d v="1994-11-10T00:00:00"/>
    <x v="2"/>
    <x v="2"/>
    <x v="0"/>
    <x v="0"/>
    <x v="2"/>
    <n v="0.1"/>
    <n v="540"/>
  </r>
  <r>
    <n v="1204"/>
    <s v="Алишер Абдукаримов"/>
    <d v="1984-02-09T00:00:00"/>
    <x v="2"/>
    <x v="2"/>
    <x v="0"/>
    <x v="0"/>
    <x v="2"/>
    <n v="0.1"/>
    <n v="540"/>
  </r>
  <r>
    <n v="1209"/>
    <s v="Айзада Темиргалиева"/>
    <d v="1997-09-14T00:00:00"/>
    <x v="1"/>
    <x v="2"/>
    <x v="0"/>
    <x v="0"/>
    <x v="2"/>
    <n v="0.1"/>
    <n v="540"/>
  </r>
  <r>
    <n v="1222"/>
    <s v="Нуржана Абдукаримова"/>
    <d v="1966-01-04T00:00:00"/>
    <x v="1"/>
    <x v="2"/>
    <x v="0"/>
    <x v="0"/>
    <x v="2"/>
    <n v="0.1"/>
    <n v="540"/>
  </r>
  <r>
    <n v="1394"/>
    <s v="Мадина Темиргалиева"/>
    <d v="2006-09-07T00:00:00"/>
    <x v="2"/>
    <x v="2"/>
    <x v="0"/>
    <x v="0"/>
    <x v="2"/>
    <n v="0.1"/>
    <n v="540"/>
  </r>
  <r>
    <n v="1399"/>
    <s v="Динара Темиргалиева"/>
    <d v="1960-06-05T00:00:00"/>
    <x v="1"/>
    <x v="2"/>
    <x v="0"/>
    <x v="0"/>
    <x v="2"/>
    <n v="0.1"/>
    <n v="540"/>
  </r>
  <r>
    <n v="1362"/>
    <s v="Нуржан Сырымбетов"/>
    <d v="1967-06-07T00:00:00"/>
    <x v="1"/>
    <x v="2"/>
    <x v="0"/>
    <x v="0"/>
    <x v="2"/>
    <n v="0.1"/>
    <n v="540"/>
  </r>
  <r>
    <n v="1442"/>
    <s v="Андрей Кузнецов"/>
    <d v="1963-09-11T00:00:00"/>
    <x v="2"/>
    <x v="2"/>
    <x v="0"/>
    <x v="0"/>
    <x v="2"/>
    <n v="0.1"/>
    <n v="540"/>
  </r>
  <r>
    <n v="1579"/>
    <s v="Максим Чернов"/>
    <d v="1977-09-11T00:00:00"/>
    <x v="1"/>
    <x v="2"/>
    <x v="0"/>
    <x v="0"/>
    <x v="2"/>
    <n v="0.1"/>
    <n v="540"/>
  </r>
  <r>
    <n v="1006"/>
    <s v="Айнара Саттыгулова"/>
    <d v="1967-05-10T00:00:00"/>
    <x v="2"/>
    <x v="2"/>
    <x v="0"/>
    <x v="0"/>
    <x v="2"/>
    <n v="0.1"/>
    <n v="540"/>
  </r>
  <r>
    <n v="1033"/>
    <s v="Алишер Сейтбеков"/>
    <d v="2005-01-04T00:00:00"/>
    <x v="2"/>
    <x v="2"/>
    <x v="0"/>
    <x v="0"/>
    <x v="2"/>
    <n v="0.1"/>
    <n v="540"/>
  </r>
  <r>
    <n v="1047"/>
    <s v="Нургиса Айтбекова"/>
    <d v="1969-02-10T00:00:00"/>
    <x v="2"/>
    <x v="2"/>
    <x v="0"/>
    <x v="0"/>
    <x v="2"/>
    <n v="0.1"/>
    <n v="540"/>
  </r>
  <r>
    <n v="1057"/>
    <s v="Аружан Аманова"/>
    <d v="1973-09-02T00:00:00"/>
    <x v="2"/>
    <x v="2"/>
    <x v="0"/>
    <x v="0"/>
    <x v="2"/>
    <n v="0.1"/>
    <n v="540"/>
  </r>
  <r>
    <n v="1064"/>
    <s v="Алишер Байгужинов"/>
    <d v="1965-03-12T00:00:00"/>
    <x v="2"/>
    <x v="2"/>
    <x v="0"/>
    <x v="0"/>
    <x v="2"/>
    <n v="0.1"/>
    <n v="540"/>
  </r>
  <r>
    <n v="1069"/>
    <s v="Нургиса Баиров"/>
    <d v="2003-10-17T00:00:00"/>
    <x v="2"/>
    <x v="2"/>
    <x v="0"/>
    <x v="0"/>
    <x v="2"/>
    <n v="0.1"/>
    <n v="540"/>
  </r>
  <r>
    <n v="1308"/>
    <s v="Нуржан Сырымбетов"/>
    <d v="1992-03-05T00:00:00"/>
    <x v="2"/>
    <x v="2"/>
    <x v="0"/>
    <x v="0"/>
    <x v="2"/>
    <n v="0.1"/>
    <n v="540"/>
  </r>
  <r>
    <n v="1545"/>
    <s v="Ирина Смирнова"/>
    <d v="1985-12-09T00:00:00"/>
    <x v="2"/>
    <x v="2"/>
    <x v="0"/>
    <x v="0"/>
    <x v="2"/>
    <n v="0.1"/>
    <n v="540"/>
  </r>
  <r>
    <n v="1550"/>
    <s v="Иван Васильев"/>
    <d v="1969-05-01T00:00:00"/>
    <x v="1"/>
    <x v="2"/>
    <x v="0"/>
    <x v="0"/>
    <x v="2"/>
    <n v="0.1"/>
    <n v="540"/>
  </r>
  <r>
    <n v="1188"/>
    <s v="Айсулу Токтасынова"/>
    <d v="1969-02-13T00:00:00"/>
    <x v="2"/>
    <x v="2"/>
    <x v="0"/>
    <x v="0"/>
    <x v="2"/>
    <n v="0.1"/>
    <n v="540"/>
  </r>
  <r>
    <n v="1193"/>
    <s v="Даниал Бекенов"/>
    <d v="1961-11-12T00:00:00"/>
    <x v="1"/>
    <x v="2"/>
    <x v="0"/>
    <x v="0"/>
    <x v="2"/>
    <n v="0.1"/>
    <n v="540"/>
  </r>
  <r>
    <n v="1203"/>
    <s v="Нуржана Касымбаева"/>
    <d v="1991-03-28T00:00:00"/>
    <x v="1"/>
    <x v="2"/>
    <x v="0"/>
    <x v="0"/>
    <x v="2"/>
    <n v="0.1"/>
    <n v="540"/>
  </r>
  <r>
    <n v="1213"/>
    <s v="Дамир Касымов"/>
    <d v="2005-02-04T00:00:00"/>
    <x v="1"/>
    <x v="2"/>
    <x v="0"/>
    <x v="0"/>
    <x v="2"/>
    <n v="0.1"/>
    <n v="540"/>
  </r>
  <r>
    <n v="1555"/>
    <s v="Мария Смирнова"/>
    <d v="1985-09-08T00:00:00"/>
    <x v="2"/>
    <x v="2"/>
    <x v="0"/>
    <x v="0"/>
    <x v="2"/>
    <n v="0.1"/>
    <n v="540"/>
  </r>
  <r>
    <n v="1218"/>
    <s v="Саят Амангельдиев"/>
    <d v="1973-10-10T00:00:00"/>
    <x v="1"/>
    <x v="2"/>
    <x v="0"/>
    <x v="0"/>
    <x v="2"/>
    <n v="0.1"/>
    <n v="540"/>
  </r>
  <r>
    <n v="1293"/>
    <s v="Данияр Куанышев"/>
    <d v="1991-03-23T00:00:00"/>
    <x v="1"/>
    <x v="2"/>
    <x v="0"/>
    <x v="0"/>
    <x v="2"/>
    <n v="0.1"/>
    <n v="540"/>
  </r>
  <r>
    <n v="1560"/>
    <s v="Максим Соколов"/>
    <d v="1995-02-22T00:00:00"/>
    <x v="1"/>
    <x v="2"/>
    <x v="0"/>
    <x v="0"/>
    <x v="2"/>
    <n v="0.1"/>
    <n v="540"/>
  </r>
  <r>
    <n v="1323"/>
    <s v="Нуржан Касымбаев"/>
    <d v="1995-11-29T00:00:00"/>
    <x v="2"/>
    <x v="2"/>
    <x v="0"/>
    <x v="0"/>
    <x v="2"/>
    <n v="0.1"/>
    <n v="540"/>
  </r>
  <r>
    <n v="1461"/>
    <s v="Мария Ахметова"/>
    <d v="1981-02-21T00:00:00"/>
    <x v="1"/>
    <x v="2"/>
    <x v="0"/>
    <x v="0"/>
    <x v="2"/>
    <n v="0.1"/>
    <n v="540"/>
  </r>
  <r>
    <n v="1565"/>
    <s v="Алина Смирнова"/>
    <d v="1968-12-28T00:00:00"/>
    <x v="2"/>
    <x v="2"/>
    <x v="0"/>
    <x v="0"/>
    <x v="2"/>
    <n v="0.1"/>
    <n v="540"/>
  </r>
  <r>
    <n v="1370"/>
    <s v="Маржан Мамбетова"/>
    <d v="1999-04-20T00:00:00"/>
    <x v="1"/>
    <x v="2"/>
    <x v="0"/>
    <x v="0"/>
    <x v="2"/>
    <n v="0.1"/>
    <n v="540"/>
  </r>
  <r>
    <n v="1198"/>
    <s v="Айзада Касымова"/>
    <d v="1970-07-30T00:00:00"/>
    <x v="2"/>
    <x v="2"/>
    <x v="0"/>
    <x v="0"/>
    <x v="2"/>
    <n v="0.1"/>
    <n v="540"/>
  </r>
  <r>
    <n v="1208"/>
    <s v="Данияр Касымов"/>
    <d v="1963-03-21T00:00:00"/>
    <x v="2"/>
    <x v="2"/>
    <x v="0"/>
    <x v="0"/>
    <x v="2"/>
    <n v="0.1"/>
    <n v="540"/>
  </r>
  <r>
    <n v="1007"/>
    <s v="Алтынай Жолдыбаева"/>
    <d v="2004-08-11T00:00:00"/>
    <x v="1"/>
    <x v="2"/>
    <x v="0"/>
    <x v="0"/>
    <x v="2"/>
    <n v="0.1"/>
    <n v="540"/>
  </r>
  <r>
    <n v="1031"/>
    <s v="Айдана Смагулова"/>
    <d v="1961-07-15T00:00:00"/>
    <x v="2"/>
    <x v="2"/>
    <x v="0"/>
    <x v="0"/>
    <x v="2"/>
    <n v="0.1"/>
    <n v="540"/>
  </r>
  <r>
    <n v="1045"/>
    <s v="Дамир Айтбеков"/>
    <d v="1970-05-30T00:00:00"/>
    <x v="0"/>
    <x v="2"/>
    <x v="0"/>
    <x v="0"/>
    <x v="2"/>
    <n v="0.1"/>
    <n v="540"/>
  </r>
  <r>
    <n v="1056"/>
    <s v="Алишер Амиров"/>
    <d v="1986-09-30T00:00:00"/>
    <x v="0"/>
    <x v="2"/>
    <x v="0"/>
    <x v="0"/>
    <x v="2"/>
    <n v="0.1"/>
    <n v="540"/>
  </r>
  <r>
    <n v="1063"/>
    <s v="Айгерим Байболатова"/>
    <d v="1995-06-28T00:00:00"/>
    <x v="0"/>
    <x v="2"/>
    <x v="0"/>
    <x v="0"/>
    <x v="2"/>
    <n v="0.1"/>
    <n v="540"/>
  </r>
  <r>
    <n v="1073"/>
    <s v="Алишер Байтурсынов"/>
    <d v="1999-05-09T00:00:00"/>
    <x v="5"/>
    <x v="2"/>
    <x v="0"/>
    <x v="0"/>
    <x v="2"/>
    <n v="0.1"/>
    <n v="540"/>
  </r>
  <r>
    <n v="1074"/>
    <s v="Арсен Байтурсын"/>
    <d v="1994-04-09T00:00:00"/>
    <x v="1"/>
    <x v="2"/>
    <x v="0"/>
    <x v="0"/>
    <x v="2"/>
    <n v="0.1"/>
    <n v="540"/>
  </r>
  <r>
    <n v="1078"/>
    <s v="Алтынай Балякбаева"/>
    <d v="1971-05-18T00:00:00"/>
    <x v="4"/>
    <x v="2"/>
    <x v="0"/>
    <x v="0"/>
    <x v="2"/>
    <n v="0.1"/>
    <n v="540"/>
  </r>
  <r>
    <n v="1079"/>
    <s v="Аружан Балякбаева"/>
    <d v="1968-12-19T00:00:00"/>
    <x v="1"/>
    <x v="2"/>
    <x v="0"/>
    <x v="0"/>
    <x v="2"/>
    <n v="0.1"/>
    <n v="540"/>
  </r>
  <r>
    <n v="1083"/>
    <s v="Дамир Бегматов"/>
    <d v="1973-08-27T00:00:00"/>
    <x v="5"/>
    <x v="2"/>
    <x v="0"/>
    <x v="0"/>
    <x v="2"/>
    <n v="0.1"/>
    <n v="540"/>
  </r>
  <r>
    <n v="1084"/>
    <s v="Алишер Бегматов"/>
    <d v="1983-10-21T00:00:00"/>
    <x v="1"/>
    <x v="2"/>
    <x v="0"/>
    <x v="0"/>
    <x v="2"/>
    <n v="0.1"/>
    <n v="540"/>
  </r>
  <r>
    <n v="1068"/>
    <s v="Айнур Байназарова"/>
    <d v="1971-03-19T00:00:00"/>
    <x v="4"/>
    <x v="2"/>
    <x v="0"/>
    <x v="0"/>
    <x v="2"/>
    <n v="0.1"/>
    <n v="540"/>
  </r>
  <r>
    <n v="1540"/>
    <s v="Елизавета Николаева"/>
    <d v="1977-07-05T00:00:00"/>
    <x v="1"/>
    <x v="2"/>
    <x v="0"/>
    <x v="0"/>
    <x v="2"/>
    <n v="0.1"/>
    <n v="540"/>
  </r>
  <r>
    <n v="1113"/>
    <s v="Айзада Сарсенова"/>
    <d v="1962-04-23T00:00:00"/>
    <x v="2"/>
    <x v="2"/>
    <x v="0"/>
    <x v="0"/>
    <x v="2"/>
    <n v="0.1"/>
    <n v="540"/>
  </r>
  <r>
    <n v="1114"/>
    <s v="Ерлан Жакупов"/>
    <d v="1967-12-12T00:00:00"/>
    <x v="1"/>
    <x v="2"/>
    <x v="0"/>
    <x v="0"/>
    <x v="2"/>
    <n v="0.1"/>
    <n v="540"/>
  </r>
  <r>
    <n v="1118"/>
    <s v="Аружан Абылайханова"/>
    <d v="1979-07-16T00:00:00"/>
    <x v="1"/>
    <x v="2"/>
    <x v="0"/>
    <x v="0"/>
    <x v="2"/>
    <n v="0.1"/>
    <n v="540"/>
  </r>
  <r>
    <n v="1119"/>
    <s v="Асель Байгазина"/>
    <d v="1960-02-28T00:00:00"/>
    <x v="1"/>
    <x v="2"/>
    <x v="0"/>
    <x v="0"/>
    <x v="2"/>
    <n v="0.1"/>
    <n v="540"/>
  </r>
  <r>
    <n v="1313"/>
    <s v="Айсулу Темирбекова"/>
    <d v="1976-12-06T00:00:00"/>
    <x v="0"/>
    <x v="2"/>
    <x v="0"/>
    <x v="0"/>
    <x v="2"/>
    <n v="0.1"/>
    <n v="540"/>
  </r>
  <r>
    <n v="1298"/>
    <s v="Айжана Темиргалиева"/>
    <d v="1996-03-17T00:00:00"/>
    <x v="0"/>
    <x v="2"/>
    <x v="0"/>
    <x v="0"/>
    <x v="2"/>
    <n v="0.1"/>
    <n v="540"/>
  </r>
  <r>
    <n v="1318"/>
    <s v="Нуржан Бекболатов"/>
    <d v="1969-02-08T00:00:00"/>
    <x v="0"/>
    <x v="2"/>
    <x v="0"/>
    <x v="0"/>
    <x v="2"/>
    <n v="0.1"/>
    <n v="540"/>
  </r>
  <r>
    <n v="1541"/>
    <s v="Иван Соколовский"/>
    <d v="1990-04-05T00:00:00"/>
    <x v="5"/>
    <x v="2"/>
    <x v="0"/>
    <x v="0"/>
    <x v="2"/>
    <n v="0.1"/>
    <n v="540"/>
  </r>
  <r>
    <n v="1581"/>
    <s v="Татьяна Иванова"/>
    <d v="1978-06-13T00:00:00"/>
    <x v="1"/>
    <x v="2"/>
    <x v="0"/>
    <x v="0"/>
    <x v="2"/>
    <n v="0.1"/>
    <n v="540"/>
  </r>
  <r>
    <n v="1460"/>
    <s v="Антон Кузнецов"/>
    <d v="1963-07-08T00:00:00"/>
    <x v="4"/>
    <x v="2"/>
    <x v="0"/>
    <x v="0"/>
    <x v="2"/>
    <n v="0.1"/>
    <n v="540"/>
  </r>
  <r>
    <n v="1405"/>
    <s v="Марьям Токтасынов"/>
    <d v="2000-06-04T00:00:00"/>
    <x v="5"/>
    <x v="2"/>
    <x v="0"/>
    <x v="0"/>
    <x v="2"/>
    <n v="0.1"/>
    <n v="540"/>
  </r>
  <r>
    <n v="1314"/>
    <s v="Нургиса Абдукаримова"/>
    <d v="2005-09-03T00:00:00"/>
    <x v="4"/>
    <x v="2"/>
    <x v="0"/>
    <x v="0"/>
    <x v="2"/>
    <n v="0.1"/>
    <n v="540"/>
  </r>
  <r>
    <n v="1443"/>
    <s v="Татьяна Ахметова"/>
    <d v="1982-12-26T00:00:00"/>
    <x v="4"/>
    <x v="2"/>
    <x v="0"/>
    <x v="0"/>
    <x v="2"/>
    <n v="0.1"/>
    <n v="540"/>
  </r>
  <r>
    <n v="1184"/>
    <s v="Дильназ Касымова"/>
    <d v="1981-06-22T00:00:00"/>
    <x v="1"/>
    <x v="2"/>
    <x v="0"/>
    <x v="0"/>
    <x v="2"/>
    <n v="0.1"/>
    <n v="540"/>
  </r>
  <r>
    <n v="1551"/>
    <s v="Татьяна Смирнова"/>
    <d v="1998-06-19T00:00:00"/>
    <x v="0"/>
    <x v="2"/>
    <x v="0"/>
    <x v="0"/>
    <x v="2"/>
    <n v="0.1"/>
    <n v="540"/>
  </r>
  <r>
    <n v="1189"/>
    <s v="Айзада Касымбаева"/>
    <d v="2006-01-28T00:00:00"/>
    <x v="3"/>
    <x v="2"/>
    <x v="0"/>
    <x v="0"/>
    <x v="2"/>
    <n v="0.1"/>
    <n v="540"/>
  </r>
  <r>
    <n v="1194"/>
    <s v="Аружан Амангельдиева"/>
    <d v="1959-08-07T00:00:00"/>
    <x v="5"/>
    <x v="2"/>
    <x v="0"/>
    <x v="0"/>
    <x v="2"/>
    <n v="0.1"/>
    <n v="540"/>
  </r>
  <r>
    <n v="1214"/>
    <s v="Айзада Темиргалиева"/>
    <d v="1990-05-28T00:00:00"/>
    <x v="3"/>
    <x v="2"/>
    <x v="0"/>
    <x v="0"/>
    <x v="2"/>
    <n v="0.1"/>
    <n v="540"/>
  </r>
  <r>
    <n v="1289"/>
    <s v="Айсулу Токтасынова"/>
    <d v="1998-08-23T00:00:00"/>
    <x v="4"/>
    <x v="2"/>
    <x v="0"/>
    <x v="0"/>
    <x v="2"/>
    <n v="0.1"/>
    <n v="540"/>
  </r>
  <r>
    <n v="1219"/>
    <s v="Айзада Бекзатова"/>
    <d v="1962-08-10T00:00:00"/>
    <x v="5"/>
    <x v="2"/>
    <x v="0"/>
    <x v="0"/>
    <x v="2"/>
    <n v="0.1"/>
    <n v="540"/>
  </r>
  <r>
    <n v="1294"/>
    <s v="Айзада Касымбаева"/>
    <d v="1982-07-20T00:00:00"/>
    <x v="1"/>
    <x v="2"/>
    <x v="0"/>
    <x v="0"/>
    <x v="2"/>
    <n v="0.1"/>
    <n v="540"/>
  </r>
  <r>
    <n v="1556"/>
    <s v="Андрей Иванов"/>
    <d v="2001-10-03T00:00:00"/>
    <x v="2"/>
    <x v="2"/>
    <x v="0"/>
    <x v="0"/>
    <x v="2"/>
    <n v="0.1"/>
    <n v="540"/>
  </r>
  <r>
    <n v="1309"/>
    <s v="Айнара Бекболатова"/>
    <d v="1961-01-23T00:00:00"/>
    <x v="1"/>
    <x v="2"/>
    <x v="0"/>
    <x v="0"/>
    <x v="2"/>
    <n v="0.1"/>
    <n v="540"/>
  </r>
  <r>
    <n v="1299"/>
    <s v="Нургиса Сырымбетова"/>
    <d v="1990-02-27T00:00:00"/>
    <x v="0"/>
    <x v="2"/>
    <x v="0"/>
    <x v="0"/>
    <x v="2"/>
    <n v="0.1"/>
    <n v="540"/>
  </r>
  <r>
    <n v="1319"/>
    <s v="Айнара Абдукаримова"/>
    <d v="1978-03-14T00:00:00"/>
    <x v="5"/>
    <x v="2"/>
    <x v="0"/>
    <x v="0"/>
    <x v="2"/>
    <n v="0.1"/>
    <n v="540"/>
  </r>
  <r>
    <n v="1561"/>
    <s v="Ольга Иванова"/>
    <d v="1995-05-18T00:00:00"/>
    <x v="1"/>
    <x v="2"/>
    <x v="0"/>
    <x v="0"/>
    <x v="2"/>
    <n v="0.1"/>
    <n v="540"/>
  </r>
  <r>
    <n v="1462"/>
    <s v="Иван Смирнов"/>
    <d v="1972-01-18T00:00:00"/>
    <x v="0"/>
    <x v="2"/>
    <x v="0"/>
    <x v="0"/>
    <x v="2"/>
    <n v="0.1"/>
    <n v="540"/>
  </r>
  <r>
    <n v="1400"/>
    <s v="Рамазан Темиргалиев"/>
    <d v="1982-03-02T00:00:00"/>
    <x v="1"/>
    <x v="2"/>
    <x v="0"/>
    <x v="0"/>
    <x v="2"/>
    <n v="0.1"/>
    <n v="540"/>
  </r>
  <r>
    <n v="1199"/>
    <s v="Айдана Темиргалиева"/>
    <d v="1985-09-24T00:00:00"/>
    <x v="1"/>
    <x v="2"/>
    <x v="0"/>
    <x v="0"/>
    <x v="2"/>
    <n v="0.1"/>
    <n v="540"/>
  </r>
  <r>
    <n v="1371"/>
    <s v="Нурсултан Маратов"/>
    <d v="1992-06-21T00:00:00"/>
    <x v="5"/>
    <x v="2"/>
    <x v="0"/>
    <x v="0"/>
    <x v="2"/>
    <n v="0.1"/>
    <n v="540"/>
  </r>
  <r>
    <n v="1428"/>
    <s v="Елена Кузнецова"/>
    <d v="1988-12-03T00:00:00"/>
    <x v="2"/>
    <x v="2"/>
    <x v="0"/>
    <x v="0"/>
    <x v="2"/>
    <n v="0.1"/>
    <n v="540"/>
  </r>
  <r>
    <n v="1566"/>
    <s v="Анна Николаева"/>
    <d v="1970-08-28T00:00:00"/>
    <x v="1"/>
    <x v="2"/>
    <x v="0"/>
    <x v="0"/>
    <x v="2"/>
    <n v="0.1"/>
    <n v="540"/>
  </r>
  <r>
    <n v="1446"/>
    <s v="Мария Кузнецова"/>
    <d v="1996-02-22T00:00:00"/>
    <x v="1"/>
    <x v="2"/>
    <x v="0"/>
    <x v="0"/>
    <x v="2"/>
    <n v="0.1"/>
    <n v="540"/>
  </r>
  <r>
    <n v="1429"/>
    <s v="Ринат Ахметов"/>
    <d v="1989-06-06T00:00:00"/>
    <x v="2"/>
    <x v="2"/>
    <x v="0"/>
    <x v="0"/>
    <x v="2"/>
    <n v="0.1"/>
    <n v="540"/>
  </r>
  <r>
    <n v="1447"/>
    <s v="Ильнур Ахметов"/>
    <d v="1981-08-17T00:00:00"/>
    <x v="1"/>
    <x v="2"/>
    <x v="0"/>
    <x v="0"/>
    <x v="2"/>
    <n v="0.1"/>
    <n v="540"/>
  </r>
  <r>
    <n v="1375"/>
    <s v="Алихан Бегимбетов"/>
    <d v="1981-09-01T00:00:00"/>
    <x v="2"/>
    <x v="2"/>
    <x v="0"/>
    <x v="0"/>
    <x v="2"/>
    <n v="0.1"/>
    <n v="540"/>
  </r>
  <r>
    <n v="1376"/>
    <s v="Мадина Султанова"/>
    <d v="1997-04-14T00:00:00"/>
    <x v="3"/>
    <x v="2"/>
    <x v="0"/>
    <x v="0"/>
    <x v="2"/>
    <n v="0.1"/>
    <n v="540"/>
  </r>
  <r>
    <n v="1466"/>
    <s v="Александр Кузнецов"/>
    <d v="1974-12-28T00:00:00"/>
    <x v="1"/>
    <x v="2"/>
    <x v="0"/>
    <x v="0"/>
    <x v="2"/>
    <n v="0.1"/>
    <n v="540"/>
  </r>
  <r>
    <n v="1380"/>
    <s v="Алишер Бекзатов"/>
    <d v="1983-01-17T00:00:00"/>
    <x v="2"/>
    <x v="2"/>
    <x v="0"/>
    <x v="0"/>
    <x v="2"/>
    <n v="0.1"/>
    <n v="540"/>
  </r>
  <r>
    <n v="1570"/>
    <s v="Ольга Соколова"/>
    <d v="1996-11-26T00:00:00"/>
    <x v="1"/>
    <x v="2"/>
    <x v="0"/>
    <x v="0"/>
    <x v="2"/>
    <n v="0.1"/>
    <n v="540"/>
  </r>
  <r>
    <n v="1433"/>
    <s v="Татьяна Иванова"/>
    <d v="2002-08-05T00:00:00"/>
    <x v="2"/>
    <x v="2"/>
    <x v="0"/>
    <x v="0"/>
    <x v="2"/>
    <n v="0.1"/>
    <n v="540"/>
  </r>
  <r>
    <n v="1451"/>
    <s v="Екатерина Ахметова"/>
    <d v="2005-01-04T00:00:00"/>
    <x v="1"/>
    <x v="2"/>
    <x v="0"/>
    <x v="0"/>
    <x v="2"/>
    <n v="0.1"/>
    <n v="540"/>
  </r>
  <r>
    <n v="1385"/>
    <s v="Еркежан Смагулова"/>
    <d v="1994-08-19T00:00:00"/>
    <x v="2"/>
    <x v="2"/>
    <x v="0"/>
    <x v="0"/>
    <x v="2"/>
    <n v="0.1"/>
    <n v="540"/>
  </r>
  <r>
    <n v="1390"/>
    <s v="Асем Смагулова"/>
    <d v="1992-08-11T00:00:00"/>
    <x v="1"/>
    <x v="2"/>
    <x v="0"/>
    <x v="0"/>
    <x v="2"/>
    <n v="0.1"/>
    <n v="540"/>
  </r>
  <r>
    <n v="1471"/>
    <s v="Иван Петров"/>
    <d v="1971-12-07T00:00:00"/>
    <x v="2"/>
    <x v="2"/>
    <x v="0"/>
    <x v="0"/>
    <x v="2"/>
    <n v="0.1"/>
    <n v="540"/>
  </r>
  <r>
    <n v="1575"/>
    <s v="Артем Смирнов"/>
    <d v="1977-05-21T00:00:00"/>
    <x v="1"/>
    <x v="2"/>
    <x v="0"/>
    <x v="0"/>
    <x v="2"/>
    <n v="0.1"/>
    <n v="540"/>
  </r>
  <r>
    <n v="1438"/>
    <s v="Елена Ахметова"/>
    <d v="1988-04-06T00:00:00"/>
    <x v="2"/>
    <x v="2"/>
    <x v="0"/>
    <x v="0"/>
    <x v="2"/>
    <n v="0.1"/>
    <n v="540"/>
  </r>
  <r>
    <n v="1455"/>
    <s v="Иван Ахметов"/>
    <d v="1974-03-18T00:00:00"/>
    <x v="1"/>
    <x v="2"/>
    <x v="0"/>
    <x v="0"/>
    <x v="2"/>
    <n v="0.1"/>
    <n v="540"/>
  </r>
  <r>
    <n v="1395"/>
    <s v="Динара Смагулова"/>
    <d v="1989-12-28T00:00:00"/>
    <x v="1"/>
    <x v="2"/>
    <x v="0"/>
    <x v="0"/>
    <x v="2"/>
    <n v="0.1"/>
    <n v="540"/>
  </r>
  <r>
    <n v="1456"/>
    <s v="Марина Петрова"/>
    <d v="1972-02-24T00:00:00"/>
    <x v="2"/>
    <x v="2"/>
    <x v="0"/>
    <x v="0"/>
    <x v="2"/>
    <n v="0.1"/>
    <n v="540"/>
  </r>
  <r>
    <n v="1363"/>
    <s v="Айжан Бекзатова"/>
    <d v="1989-11-09T00:00:00"/>
    <x v="2"/>
    <x v="2"/>
    <x v="0"/>
    <x v="0"/>
    <x v="2"/>
    <n v="0.1"/>
    <n v="540"/>
  </r>
  <r>
    <n v="1476"/>
    <s v="Елена Смирнова"/>
    <d v="1966-05-22T00:00:00"/>
    <x v="1"/>
    <x v="2"/>
    <x v="0"/>
    <x v="0"/>
    <x v="2"/>
    <n v="0.1"/>
    <n v="540"/>
  </r>
  <r>
    <n v="1404"/>
    <s v="Нурлан Токтасынов"/>
    <d v="1981-09-08T00:00:00"/>
    <x v="3"/>
    <x v="2"/>
    <x v="0"/>
    <x v="0"/>
    <x v="2"/>
    <n v="0.1"/>
    <n v="540"/>
  </r>
  <r>
    <n v="1580"/>
    <s v="Алина Соколова"/>
    <d v="1988-01-13T00:00:00"/>
    <x v="3"/>
    <x v="2"/>
    <x v="0"/>
    <x v="0"/>
    <x v="2"/>
    <n v="0.1"/>
    <n v="540"/>
  </r>
  <r>
    <n v="1477"/>
    <s v="Ирина Ахметова"/>
    <d v="2006-02-08T00:00:00"/>
    <x v="2"/>
    <x v="3"/>
    <x v="0"/>
    <x v="0"/>
    <x v="3"/>
    <n v="0.1"/>
    <n v="450"/>
  </r>
  <r>
    <n v="1472"/>
    <s v="Мария Ахметова"/>
    <d v="1993-12-17T00:00:00"/>
    <x v="2"/>
    <x v="3"/>
    <x v="0"/>
    <x v="0"/>
    <x v="3"/>
    <n v="0.1"/>
    <n v="450"/>
  </r>
  <r>
    <n v="1576"/>
    <s v="Ирина Попова"/>
    <d v="1986-11-18T00:00:00"/>
    <x v="2"/>
    <x v="3"/>
    <x v="0"/>
    <x v="0"/>
    <x v="3"/>
    <n v="0.1"/>
    <n v="450"/>
  </r>
  <r>
    <n v="1396"/>
    <s v="Нурлан Токтасынов"/>
    <d v="1974-06-08T00:00:00"/>
    <x v="1"/>
    <x v="3"/>
    <x v="0"/>
    <x v="0"/>
    <x v="3"/>
    <n v="0.1"/>
    <n v="450"/>
  </r>
  <r>
    <n v="1359"/>
    <s v="Алия Бекзатова"/>
    <d v="1961-10-26T00:00:00"/>
    <x v="2"/>
    <x v="3"/>
    <x v="0"/>
    <x v="0"/>
    <x v="3"/>
    <n v="0.1"/>
    <n v="450"/>
  </r>
  <r>
    <n v="1457"/>
    <s v="Раиса Смирнова"/>
    <d v="1994-04-10T00:00:00"/>
    <x v="1"/>
    <x v="3"/>
    <x v="0"/>
    <x v="0"/>
    <x v="3"/>
    <n v="0.1"/>
    <n v="450"/>
  </r>
  <r>
    <n v="1401"/>
    <s v="Мадина Токтасынова"/>
    <d v="1993-01-26T00:00:00"/>
    <x v="2"/>
    <x v="3"/>
    <x v="0"/>
    <x v="0"/>
    <x v="3"/>
    <n v="0.1"/>
    <n v="450"/>
  </r>
  <r>
    <n v="1364"/>
    <s v="Нургиса Темиргалиева"/>
    <d v="1977-09-23T00:00:00"/>
    <x v="1"/>
    <x v="3"/>
    <x v="0"/>
    <x v="0"/>
    <x v="3"/>
    <n v="0.1"/>
    <n v="450"/>
  </r>
  <r>
    <n v="1543"/>
    <s v="Ольга Петренко"/>
    <d v="1968-04-07T00:00:00"/>
    <x v="6"/>
    <x v="3"/>
    <x v="0"/>
    <x v="0"/>
    <x v="3"/>
    <n v="0.1"/>
    <n v="450"/>
  </r>
  <r>
    <n v="1548"/>
    <s v="Петр Николаевич"/>
    <d v="1985-04-12T00:00:00"/>
    <x v="3"/>
    <x v="3"/>
    <x v="0"/>
    <x v="0"/>
    <x v="3"/>
    <n v="0.1"/>
    <n v="450"/>
  </r>
  <r>
    <n v="1186"/>
    <s v="Нуржан Бектурганов"/>
    <d v="1960-04-13T00:00:00"/>
    <x v="0"/>
    <x v="3"/>
    <x v="0"/>
    <x v="0"/>
    <x v="3"/>
    <n v="0.1"/>
    <n v="450"/>
  </r>
  <r>
    <n v="1191"/>
    <s v="Назерке Амангельдиева"/>
    <d v="2000-06-02T00:00:00"/>
    <x v="5"/>
    <x v="3"/>
    <x v="0"/>
    <x v="0"/>
    <x v="3"/>
    <n v="0.1"/>
    <n v="450"/>
  </r>
  <r>
    <n v="1196"/>
    <s v="Айгерим Бекзатова"/>
    <d v="2005-07-05T00:00:00"/>
    <x v="6"/>
    <x v="3"/>
    <x v="0"/>
    <x v="0"/>
    <x v="3"/>
    <n v="0.1"/>
    <n v="450"/>
  </r>
  <r>
    <n v="1324"/>
    <s v="Айсулу Бекболатова"/>
    <d v="1975-01-11T00:00:00"/>
    <x v="1"/>
    <x v="3"/>
    <x v="0"/>
    <x v="0"/>
    <x v="3"/>
    <n v="0.1"/>
    <n v="450"/>
  </r>
  <r>
    <n v="1381"/>
    <s v="Мадияр Темиргалиев"/>
    <d v="1968-07-12T00:00:00"/>
    <x v="0"/>
    <x v="3"/>
    <x v="0"/>
    <x v="0"/>
    <x v="3"/>
    <n v="0.1"/>
    <n v="450"/>
  </r>
  <r>
    <n v="1467"/>
    <s v="Татьяна Ахметова"/>
    <d v="1994-02-02T00:00:00"/>
    <x v="5"/>
    <x v="3"/>
    <x v="0"/>
    <x v="0"/>
    <x v="3"/>
    <n v="0.1"/>
    <n v="450"/>
  </r>
  <r>
    <n v="1553"/>
    <s v="Екатерина Петрова"/>
    <d v="1992-09-27T00:00:00"/>
    <x v="0"/>
    <x v="3"/>
    <x v="0"/>
    <x v="0"/>
    <x v="3"/>
    <n v="0.1"/>
    <n v="450"/>
  </r>
  <r>
    <n v="1571"/>
    <s v="Артем Петров"/>
    <d v="1978-02-27T00:00:00"/>
    <x v="1"/>
    <x v="3"/>
    <x v="0"/>
    <x v="0"/>
    <x v="3"/>
    <n v="0.1"/>
    <n v="450"/>
  </r>
  <r>
    <n v="1434"/>
    <s v="Денис Смирнов"/>
    <d v="1996-02-28T00:00:00"/>
    <x v="2"/>
    <x v="3"/>
    <x v="0"/>
    <x v="0"/>
    <x v="3"/>
    <n v="0.1"/>
    <n v="450"/>
  </r>
  <r>
    <n v="1386"/>
    <s v="Марьям Бекзатова"/>
    <d v="1979-12-09T00:00:00"/>
    <x v="1"/>
    <x v="3"/>
    <x v="0"/>
    <x v="0"/>
    <x v="3"/>
    <n v="0.1"/>
    <n v="450"/>
  </r>
  <r>
    <n v="1452"/>
    <s v="Айдар Смирнов"/>
    <d v="1976-05-09T00:00:00"/>
    <x v="3"/>
    <x v="3"/>
    <x v="0"/>
    <x v="0"/>
    <x v="3"/>
    <n v="0.1"/>
    <n v="450"/>
  </r>
  <r>
    <n v="1391"/>
    <s v="Айгуль Токтасынова"/>
    <d v="1962-01-11T00:00:00"/>
    <x v="1"/>
    <x v="3"/>
    <x v="0"/>
    <x v="0"/>
    <x v="3"/>
    <n v="0.1"/>
    <n v="450"/>
  </r>
  <r>
    <n v="1439"/>
    <s v="Ринат Иванов"/>
    <d v="1967-03-30T00:00:00"/>
    <x v="1"/>
    <x v="3"/>
    <x v="0"/>
    <x v="0"/>
    <x v="3"/>
    <n v="0.1"/>
    <n v="450"/>
  </r>
  <r>
    <n v="1201"/>
    <s v="Данияр Амангельдиев"/>
    <d v="1965-05-13T00:00:00"/>
    <x v="3"/>
    <x v="3"/>
    <x v="0"/>
    <x v="0"/>
    <x v="3"/>
    <n v="0.1"/>
    <n v="450"/>
  </r>
  <r>
    <n v="1563"/>
    <s v="Марина Коваленко"/>
    <d v="1998-10-17T00:00:00"/>
    <x v="2"/>
    <x v="4"/>
    <x v="0"/>
    <x v="0"/>
    <x v="3"/>
    <n v="0.1"/>
    <n v="450"/>
  </r>
  <r>
    <n v="1464"/>
    <s v="Артем Иванов"/>
    <d v="1989-01-15T00:00:00"/>
    <x v="2"/>
    <x v="4"/>
    <x v="0"/>
    <x v="0"/>
    <x v="3"/>
    <n v="0.1"/>
    <n v="450"/>
  </r>
  <r>
    <n v="1431"/>
    <s v="Алина Петрова"/>
    <d v="1968-12-13T00:00:00"/>
    <x v="2"/>
    <x v="4"/>
    <x v="0"/>
    <x v="0"/>
    <x v="3"/>
    <n v="0.1"/>
    <n v="450"/>
  </r>
  <r>
    <n v="1449"/>
    <s v="Татьяна Петрова"/>
    <d v="1972-08-19T00:00:00"/>
    <x v="2"/>
    <x v="4"/>
    <x v="0"/>
    <x v="0"/>
    <x v="3"/>
    <n v="0.1"/>
    <n v="450"/>
  </r>
  <r>
    <n v="1469"/>
    <s v="Артем Смирнов"/>
    <d v="1966-08-13T00:00:00"/>
    <x v="2"/>
    <x v="4"/>
    <x v="0"/>
    <x v="0"/>
    <x v="3"/>
    <n v="0.1"/>
    <n v="450"/>
  </r>
  <r>
    <n v="1573"/>
    <s v="Павел Чернов"/>
    <d v="1959-07-23T00:00:00"/>
    <x v="2"/>
    <x v="4"/>
    <x v="0"/>
    <x v="0"/>
    <x v="3"/>
    <n v="0.1"/>
    <n v="450"/>
  </r>
  <r>
    <n v="1454"/>
    <s v="Ольга Кузнецова"/>
    <d v="1986-05-08T00:00:00"/>
    <x v="2"/>
    <x v="4"/>
    <x v="0"/>
    <x v="0"/>
    <x v="3"/>
    <n v="0.1"/>
    <n v="450"/>
  </r>
  <r>
    <n v="1373"/>
    <s v="Алтынай Бахытова"/>
    <d v="1992-12-22T00:00:00"/>
    <x v="1"/>
    <x v="4"/>
    <x v="0"/>
    <x v="0"/>
    <x v="3"/>
    <n v="0.1"/>
    <n v="450"/>
  </r>
  <r>
    <n v="1568"/>
    <s v="Елена Петрова"/>
    <d v="2002-04-21T00:00:00"/>
    <x v="1"/>
    <x v="4"/>
    <x v="0"/>
    <x v="0"/>
    <x v="3"/>
    <n v="0.1"/>
    <n v="450"/>
  </r>
  <r>
    <n v="1311"/>
    <s v="Алина Темиргалиева"/>
    <d v="1980-07-22T00:00:00"/>
    <x v="5"/>
    <x v="4"/>
    <x v="0"/>
    <x v="0"/>
    <x v="3"/>
    <n v="0.1"/>
    <n v="450"/>
  </r>
  <r>
    <n v="1558"/>
    <s v="Владимир Попов"/>
    <d v="2000-01-11T00:00:00"/>
    <x v="0"/>
    <x v="4"/>
    <x v="0"/>
    <x v="0"/>
    <x v="3"/>
    <n v="0.1"/>
    <n v="450"/>
  </r>
  <r>
    <n v="1211"/>
    <s v="Айгерим Темиргалиева"/>
    <d v="1996-06-01T00:00:00"/>
    <x v="6"/>
    <x v="4"/>
    <x v="0"/>
    <x v="0"/>
    <x v="3"/>
    <n v="0.1"/>
    <n v="450"/>
  </r>
  <r>
    <n v="1216"/>
    <s v="Назерке Темирбекова"/>
    <d v="2004-12-28T00:00:00"/>
    <x v="5"/>
    <x v="4"/>
    <x v="0"/>
    <x v="0"/>
    <x v="3"/>
    <n v="0.1"/>
    <n v="450"/>
  </r>
  <r>
    <n v="1291"/>
    <s v="Данияр Касымбаев"/>
    <d v="1965-12-03T00:00:00"/>
    <x v="4"/>
    <x v="4"/>
    <x v="0"/>
    <x v="0"/>
    <x v="3"/>
    <n v="0.1"/>
    <n v="450"/>
  </r>
  <r>
    <n v="1296"/>
    <s v="Алишер Бекболатов"/>
    <d v="1988-02-26T00:00:00"/>
    <x v="6"/>
    <x v="4"/>
    <x v="0"/>
    <x v="0"/>
    <x v="3"/>
    <n v="0.1"/>
    <n v="450"/>
  </r>
  <r>
    <n v="1316"/>
    <s v="Айнара Темирбекова"/>
    <d v="1971-02-26T00:00:00"/>
    <x v="2"/>
    <x v="4"/>
    <x v="0"/>
    <x v="0"/>
    <x v="3"/>
    <n v="0.1"/>
    <n v="450"/>
  </r>
  <r>
    <n v="1321"/>
    <s v="Алина Касымбаева"/>
    <d v="1959-09-28T00:00:00"/>
    <x v="1"/>
    <x v="4"/>
    <x v="0"/>
    <x v="0"/>
    <x v="3"/>
    <n v="0.1"/>
    <n v="450"/>
  </r>
  <r>
    <n v="1378"/>
    <s v="Рамазан Абдукаримов"/>
    <d v="1984-08-24T00:00:00"/>
    <x v="1"/>
    <x v="4"/>
    <x v="0"/>
    <x v="0"/>
    <x v="3"/>
    <n v="0.1"/>
    <n v="450"/>
  </r>
  <r>
    <n v="1383"/>
    <s v="Нурлан Токтасынов"/>
    <d v="1979-07-18T00:00:00"/>
    <x v="1"/>
    <x v="4"/>
    <x v="0"/>
    <x v="0"/>
    <x v="3"/>
    <n v="0.1"/>
    <n v="450"/>
  </r>
  <r>
    <n v="1388"/>
    <s v="Еркежан Темиргалиев"/>
    <d v="1976-12-19T00:00:00"/>
    <x v="1"/>
    <x v="4"/>
    <x v="0"/>
    <x v="0"/>
    <x v="3"/>
    <n v="0.1"/>
    <n v="450"/>
  </r>
  <r>
    <n v="1436"/>
    <s v="Анна Кузнецова"/>
    <d v="1961-09-27T00:00:00"/>
    <x v="1"/>
    <x v="4"/>
    <x v="0"/>
    <x v="0"/>
    <x v="3"/>
    <n v="0.1"/>
    <n v="450"/>
  </r>
  <r>
    <n v="1019"/>
    <s v="Назар Камалбеков"/>
    <d v="2006-02-14T00:00:00"/>
    <x v="2"/>
    <x v="4"/>
    <x v="0"/>
    <x v="0"/>
    <x v="3"/>
    <n v="0.1"/>
    <n v="450"/>
  </r>
  <r>
    <n v="1037"/>
    <s v="Айганым Сарыбай"/>
    <d v="1977-01-28T00:00:00"/>
    <x v="1"/>
    <x v="4"/>
    <x v="0"/>
    <x v="0"/>
    <x v="3"/>
    <n v="0.1"/>
    <n v="450"/>
  </r>
  <r>
    <n v="1052"/>
    <s v="Дина Алиева"/>
    <d v="1961-02-11T00:00:00"/>
    <x v="2"/>
    <x v="4"/>
    <x v="0"/>
    <x v="0"/>
    <x v="3"/>
    <n v="0.1"/>
    <n v="450"/>
  </r>
  <r>
    <n v="1061"/>
    <s v="Айгерим Амирова"/>
    <d v="1966-08-03T00:00:00"/>
    <x v="1"/>
    <x v="4"/>
    <x v="0"/>
    <x v="0"/>
    <x v="3"/>
    <n v="0.1"/>
    <n v="450"/>
  </r>
  <r>
    <n v="1066"/>
    <s v="Айнур Баймуратов"/>
    <d v="1959-05-20T00:00:00"/>
    <x v="2"/>
    <x v="4"/>
    <x v="0"/>
    <x v="0"/>
    <x v="3"/>
    <n v="0.1"/>
    <n v="450"/>
  </r>
  <r>
    <n v="1071"/>
    <s v="Дамир Баймуратов"/>
    <d v="1979-03-03T00:00:00"/>
    <x v="1"/>
    <x v="4"/>
    <x v="0"/>
    <x v="0"/>
    <x v="3"/>
    <n v="0.1"/>
    <n v="450"/>
  </r>
  <r>
    <n v="1076"/>
    <s v="Айнара Бактыгулова"/>
    <d v="1964-12-15T00:00:00"/>
    <x v="2"/>
    <x v="4"/>
    <x v="0"/>
    <x v="0"/>
    <x v="3"/>
    <n v="0.1"/>
    <n v="450"/>
  </r>
  <r>
    <n v="1081"/>
    <s v="Айнур Бауыржанов"/>
    <d v="2002-10-27T00:00:00"/>
    <x v="1"/>
    <x v="4"/>
    <x v="0"/>
    <x v="0"/>
    <x v="3"/>
    <n v="0.1"/>
    <n v="450"/>
  </r>
  <r>
    <n v="1086"/>
    <s v="Айнур Бейсенова"/>
    <d v="2006-01-21T00:00:00"/>
    <x v="2"/>
    <x v="4"/>
    <x v="0"/>
    <x v="0"/>
    <x v="3"/>
    <n v="0.1"/>
    <n v="450"/>
  </r>
  <r>
    <n v="1538"/>
    <s v="Айдан Муратов"/>
    <d v="2005-07-22T00:00:00"/>
    <x v="4"/>
    <x v="4"/>
    <x v="0"/>
    <x v="0"/>
    <x v="3"/>
    <n v="0.1"/>
    <n v="450"/>
  </r>
  <r>
    <n v="1116"/>
    <s v="Аружан Бекмуратова"/>
    <d v="1970-11-28T00:00:00"/>
    <x v="1"/>
    <x v="4"/>
    <x v="0"/>
    <x v="0"/>
    <x v="3"/>
    <n v="0.1"/>
    <n v="450"/>
  </r>
  <r>
    <n v="1121"/>
    <s v="Айнара Жанатова"/>
    <d v="1999-08-01T00:00:00"/>
    <x v="5"/>
    <x v="4"/>
    <x v="0"/>
    <x v="0"/>
    <x v="3"/>
    <n v="0.1"/>
    <n v="450"/>
  </r>
  <r>
    <n v="1221"/>
    <s v="Айгерим Бекзатова"/>
    <d v="1984-04-14T00:00:00"/>
    <x v="5"/>
    <x v="4"/>
    <x v="0"/>
    <x v="0"/>
    <x v="3"/>
    <n v="0.1"/>
    <n v="450"/>
  </r>
  <r>
    <n v="1301"/>
    <s v="Айжан Бекзатова"/>
    <d v="1990-07-01T00:00:00"/>
    <x v="2"/>
    <x v="4"/>
    <x v="0"/>
    <x v="0"/>
    <x v="3"/>
    <n v="0.1"/>
    <n v="450"/>
  </r>
  <r>
    <n v="1366"/>
    <s v="Дамир Бекзатов"/>
    <d v="1984-07-18T00:00:00"/>
    <x v="1"/>
    <x v="4"/>
    <x v="0"/>
    <x v="0"/>
    <x v="3"/>
    <n v="0.1"/>
    <n v="450"/>
  </r>
  <r>
    <n v="1403"/>
    <s v="Рустем Темиргалиев"/>
    <d v="1986-05-04T00:00:00"/>
    <x v="2"/>
    <x v="4"/>
    <x v="0"/>
    <x v="0"/>
    <x v="3"/>
    <n v="0.1"/>
    <n v="450"/>
  </r>
  <r>
    <n v="1426"/>
    <s v="Екатерина Смирнова"/>
    <d v="1984-11-19T00:00:00"/>
    <x v="2"/>
    <x v="4"/>
    <x v="0"/>
    <x v="0"/>
    <x v="3"/>
    <n v="0.1"/>
    <n v="450"/>
  </r>
  <r>
    <n v="1444"/>
    <s v="Ольга Смирнова"/>
    <d v="1972-11-28T00:00:00"/>
    <x v="1"/>
    <x v="4"/>
    <x v="0"/>
    <x v="0"/>
    <x v="3"/>
    <n v="0.1"/>
    <n v="450"/>
  </r>
  <r>
    <n v="1368"/>
    <s v="Айдана Муканова"/>
    <d v="1961-04-21T00:00:00"/>
    <x v="3"/>
    <x v="4"/>
    <x v="0"/>
    <x v="0"/>
    <x v="3"/>
    <n v="0.1"/>
    <n v="450"/>
  </r>
  <r>
    <n v="1393"/>
    <s v="Айжана Султанова"/>
    <d v="1987-02-16T00:00:00"/>
    <x v="1"/>
    <x v="4"/>
    <x v="0"/>
    <x v="0"/>
    <x v="3"/>
    <n v="0.1"/>
    <n v="450"/>
  </r>
  <r>
    <n v="1474"/>
    <s v="Анастасия Иванова"/>
    <d v="1998-11-19T00:00:00"/>
    <x v="2"/>
    <x v="4"/>
    <x v="0"/>
    <x v="0"/>
    <x v="3"/>
    <n v="0.1"/>
    <n v="450"/>
  </r>
  <r>
    <n v="1398"/>
    <s v="Мадияр Амангельдиев"/>
    <d v="1969-08-29T00:00:00"/>
    <x v="1"/>
    <x v="4"/>
    <x v="0"/>
    <x v="0"/>
    <x v="3"/>
    <n v="0.1"/>
    <n v="450"/>
  </r>
  <r>
    <n v="1441"/>
    <s v="Алина Смирнова"/>
    <d v="1998-06-20T00:00:00"/>
    <x v="2"/>
    <x v="4"/>
    <x v="0"/>
    <x v="0"/>
    <x v="3"/>
    <n v="0.1"/>
    <n v="450"/>
  </r>
  <r>
    <n v="1578"/>
    <s v="Екатерина Васильева"/>
    <d v="1961-10-08T00:00:00"/>
    <x v="1"/>
    <x v="4"/>
    <x v="0"/>
    <x v="0"/>
    <x v="3"/>
    <n v="0.1"/>
    <n v="450"/>
  </r>
  <r>
    <n v="1361"/>
    <s v="Данияр Темиргалиев"/>
    <d v="1971-03-29T00:00:00"/>
    <x v="2"/>
    <x v="4"/>
    <x v="0"/>
    <x v="0"/>
    <x v="3"/>
    <n v="0.1"/>
    <n v="450"/>
  </r>
  <r>
    <n v="1459"/>
    <s v="Татьяна Смирнова"/>
    <d v="2006-04-06T00:00:00"/>
    <x v="1"/>
    <x v="4"/>
    <x v="0"/>
    <x v="0"/>
    <x v="3"/>
    <n v="0.1"/>
    <n v="450"/>
  </r>
  <r>
    <n v="1206"/>
    <s v="Нургиса Темирбекова"/>
    <d v="1991-01-11T00:00:00"/>
    <x v="5"/>
    <x v="4"/>
    <x v="0"/>
    <x v="0"/>
    <x v="3"/>
    <n v="0.1"/>
    <n v="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1FDD-0F60-499B-B4FA-A87C2C337AB9}" name="Сводная таблица1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Название курс">
  <location ref="H8:H9" firstHeaderRow="1" firstDataRow="1" firstDataCol="0"/>
  <pivotFields count="11">
    <pivotField showAll="0"/>
    <pivotField showAll="0"/>
    <pivotField numFmtId="14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showAll="0">
      <items count="5">
        <item x="0"/>
        <item x="1"/>
        <item x="3"/>
        <item x="2"/>
        <item t="default"/>
      </items>
    </pivotField>
    <pivotField numFmtId="9" showAll="0"/>
    <pivotField numFmtId="1" showAll="0"/>
    <pivotField dragToRow="0" dragToCol="0" dragToPage="0" showAll="0" defaultSubtotal="0"/>
  </pivotFields>
  <rowItems count="1">
    <i/>
  </rowItems>
  <colItems count="1">
    <i/>
  </colItems>
  <dataFields count="1">
    <dataField name="Сред.стоимость курса, $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626FD-1535-4A8D-B223-C907803EE9FD}" name="Сводная таблица7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курс">
  <location ref="A43:B49" firstHeaderRow="1" firstDataRow="1" firstDataCol="1"/>
  <pivotFields count="11">
    <pivotField showAll="0"/>
    <pivotField showAll="0"/>
    <pivotField numFmtId="14" showAll="0"/>
    <pivotField showAll="0">
      <items count="8">
        <item x="2"/>
        <item x="1"/>
        <item x="0"/>
        <item x="4"/>
        <item x="3"/>
        <item x="6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showAll="0"/>
    <pivotField numFmtId="9" showAll="0"/>
    <pivotField numFmtId="1"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Стоимость курса, $" fld="7" subtotal="count" showDataAs="percentOfTotal" baseField="4" baseItem="2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8E761-BDD9-497F-9697-875C2A83CD53}" name="Сводная таблица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курс">
  <location ref="A33:B39" firstHeaderRow="1" firstDataRow="1" firstDataCol="1"/>
  <pivotFields count="11">
    <pivotField showAll="0"/>
    <pivotField showAll="0"/>
    <pivotField numFmtId="14" showAll="0"/>
    <pivotField showAll="0">
      <items count="8">
        <item x="2"/>
        <item x="1"/>
        <item x="0"/>
        <item x="4"/>
        <item x="3"/>
        <item x="6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showAll="0"/>
    <pivotField numFmtId="9" showAll="0"/>
    <pivotField numFmtId="1"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ее  Стоимость курса, $" fld="7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25FC3-AD44-4918-A9CF-1940F4AD7DF8}" name="Сводная таблица1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Название курс">
  <location ref="H5:H6" firstHeaderRow="1" firstDataRow="1" firstDataCol="0"/>
  <pivotFields count="11">
    <pivotField showAll="0"/>
    <pivotField showAll="0"/>
    <pivotField numFmtId="14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numFmtId="9" showAll="0"/>
    <pivotField dataField="1" numFmtId="1" showAll="0"/>
    <pivotField dragToRow="0" dragToCol="0" dragToPage="0" showAll="0" defaultSubtotal="0"/>
  </pivotFields>
  <rowItems count="1">
    <i/>
  </rowItems>
  <colItems count="1">
    <i/>
  </colItems>
  <dataFields count="1">
    <dataField name="Кол-во продаж, $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A292F-F114-4773-90D2-D53F082D95F1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азвание курс">
  <location ref="A27:B29" firstHeaderRow="1" firstDataRow="1" firstDataCol="1"/>
  <pivotFields count="11">
    <pivotField showAll="0"/>
    <pivotField showAll="0"/>
    <pivotField numFmtId="14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2">
        <item x="0"/>
        <item t="default"/>
      </items>
    </pivotField>
    <pivotField showAll="0"/>
    <pivotField dataField="1" showAll="0"/>
    <pivotField numFmtId="9" showAll="0"/>
    <pivotField numFmtId="1" showAll="0"/>
    <pivotField dragToRow="0" dragToCol="0" dragToPage="0" showAll="0" defaultSubtotal="0"/>
  </pivotFields>
  <rowFields count="1">
    <field x="5"/>
  </rowFields>
  <rowItems count="2">
    <i>
      <x/>
    </i>
    <i t="grand">
      <x/>
    </i>
  </rowItems>
  <colItems count="1">
    <i/>
  </colItems>
  <dataFields count="1">
    <dataField name=" Стоимость курса, $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334BA-165E-4E85-96DA-A370DFAE6365}" name="Сводная таблица10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Название курс">
  <location ref="H2:H3" firstHeaderRow="1" firstDataRow="1" firstDataCol="0"/>
  <pivotFields count="11">
    <pivotField showAll="0"/>
    <pivotField showAll="0"/>
    <pivotField numFmtId="14"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numFmtId="9" showAll="0"/>
    <pivotField dataField="1" numFmtId="1" showAll="0"/>
    <pivotField dragToRow="0" dragToCol="0" dragToPage="0" showAll="0" defaultSubtotal="0"/>
  </pivotFields>
  <rowItems count="1">
    <i/>
  </rowItems>
  <colItems count="1">
    <i/>
  </colItems>
  <dataFields count="1">
    <dataField name="Общая выручка, $" fld="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76E47-FDFC-4D28-B279-CC3B0A40356B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город">
  <location ref="A14:B22" firstHeaderRow="1" firstDataRow="1" firstDataCol="1"/>
  <pivotFields count="11">
    <pivotField dataField="1" showAll="0"/>
    <pivotField showAll="0"/>
    <pivotField numFmtId="14" showAll="0"/>
    <pivotField axis="axisRow" showAll="0">
      <items count="8">
        <item x="2"/>
        <item x="1"/>
        <item x="0"/>
        <item x="4"/>
        <item x="3"/>
        <item x="6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numFmtId="9" showAll="0"/>
    <pivotField numFmtId="1" showAll="0"/>
    <pivotField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по полю ID студента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E9147-92B8-4F74-8F3E-AF540D12BBDC}" name="Сводная таблица9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курс">
  <location ref="A65:D71" firstHeaderRow="0" firstDataRow="1" firstDataCol="1"/>
  <pivotFields count="11">
    <pivotField showAll="0"/>
    <pivotField showAll="0"/>
    <pivotField numFmtId="14" showAll="0"/>
    <pivotField showAll="0">
      <items count="8">
        <item x="2"/>
        <item x="1"/>
        <item x="0"/>
        <item x="4"/>
        <item x="3"/>
        <item x="6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>
      <items count="2">
        <item x="0"/>
        <item t="default"/>
      </items>
    </pivotField>
    <pivotField dataField="1" showAll="0"/>
    <pivotField numFmtId="9" showAll="0"/>
    <pivotField dataField="1" numFmtId="1" showAll="0"/>
    <pivotField dataField="1"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Стоимость курса, $" fld="7" baseField="0" baseItem="0"/>
    <dataField name="Сумма по полю Оплата за курс, $" fld="9" baseField="0" baseItem="0" numFmtId="1"/>
    <dataField name="Сумма по полю скидка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CF6AC-6EB7-4832-A76B-A0B1B9A7E91C}" name="Сводная таблица1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Топовый курс">
  <location ref="H19:I21" firstHeaderRow="1" firstDataRow="1" firstDataCol="1"/>
  <pivotFields count="11">
    <pivotField showAll="0"/>
    <pivotField showAll="0"/>
    <pivotField numFmtId="14" showAll="0"/>
    <pivotField showAll="0"/>
    <pivotField axis="axisRow" showAll="0" measureFilter="1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numFmtId="9" showAll="0"/>
    <pivotField dataField="1" numFmtId="1" showAll="0"/>
    <pivotField dragToRow="0" dragToCol="0" dragToPage="0" showAll="0" defaultSubtotal="0"/>
  </pivotFields>
  <rowFields count="1">
    <field x="4"/>
  </rowFields>
  <rowItems count="2">
    <i>
      <x v="2"/>
    </i>
    <i t="grand">
      <x/>
    </i>
  </rowItems>
  <colItems count="1">
    <i/>
  </colItems>
  <dataFields count="1">
    <dataField name="Количество по полю Оплата за курс, $" fld="9" subtotal="count" baseField="4" baseItem="1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0B16F-9BFD-4F5E-93D8-8BAC8A674E4A}" name="Сводная таблица1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Кол-во курсов">
  <location ref="H11:H17" firstHeaderRow="1" firstDataRow="1" firstDataCol="1"/>
  <pivotFields count="11">
    <pivotField showAll="0"/>
    <pivotField showAll="0"/>
    <pivotField numFmtId="1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numFmtId="9" showAll="0"/>
    <pivotField numFmtId="1"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3A81C-9DAA-4228-B8DC-81EFE2C3354A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Название курс">
  <location ref="A3:B9" firstHeaderRow="1" firstDataRow="1" firstDataCol="1"/>
  <pivotFields count="11">
    <pivotField showAll="0"/>
    <pivotField showAll="0"/>
    <pivotField numFmtId="1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dataField="1" showAll="0"/>
    <pivotField numFmtId="9" showAll="0"/>
    <pivotField numFmtId="1"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Стоимость курса, $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17543-4C39-44A7-9531-0EC8023B6477}" name="Сводная таблица8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 rowHeaderCaption="курс">
  <location ref="A54:B60" firstHeaderRow="1" firstDataRow="1" firstDataCol="1"/>
  <pivotFields count="11">
    <pivotField showAll="0"/>
    <pivotField showAll="0"/>
    <pivotField numFmtId="14" showAll="0"/>
    <pivotField showAll="0">
      <items count="8">
        <item x="2"/>
        <item x="1"/>
        <item x="0"/>
        <item x="4"/>
        <item x="3"/>
        <item x="6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dataField="1" showAll="0">
      <items count="2">
        <item x="0"/>
        <item t="default"/>
      </items>
    </pivotField>
    <pivotField showAll="0"/>
    <pivotField numFmtId="9" showAll="0"/>
    <pivotField numFmtId="1"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Тип заказа" fld="6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азвание_курса" xr10:uid="{C175F530-B154-4B03-AF16-37B05B8088F3}" sourceName="Название курса">
  <pivotTables>
    <pivotTable tabId="4" name="Сводная таблица2"/>
  </pivotTables>
  <data>
    <tabular pivotCacheId="25075511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1F527BA2-75A1-44D7-A179-1937034CDB9B}" sourceName="Город">
  <pivotTables>
    <pivotTable tabId="4" name="Сводная таблица3"/>
  </pivotTables>
  <data>
    <tabular pivotCacheId="25075511">
      <items count="7">
        <i x="2" s="1"/>
        <i x="1" s="1"/>
        <i x="0" s="1"/>
        <i x="4" s="1"/>
        <i x="3" s="1"/>
        <i x="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курса" xr10:uid="{F142FA4E-E129-48D5-A01F-94B3ACADFD3D}" cache="Срез_Название_курса" caption="Название курса" rowHeight="247650"/>
  <slicer name="Город" xr10:uid="{2C91658C-8FE6-47D0-8000-C6C96118051B}" cache="Срез_Город" caption="Город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курса 1" xr10:uid="{7771B7FA-5FFF-4E00-8654-D4271B182A5E}" cache="Срез_Название_курса" caption="Название курса" rowHeight="247650"/>
  <slicer name="Город 1" xr10:uid="{A91DDC4B-8A1C-46BD-AB60-6E01CA36050E}" cache="Срез_Город" caption="Город" rowHeight="24765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BBFF-4AC7-4569-AC02-1BFD8FD11892}">
  <dimension ref="A1:S267"/>
  <sheetViews>
    <sheetView tabSelected="1" workbookViewId="0">
      <pane ySplit="2" topLeftCell="A5" activePane="bottomLeft" state="frozen"/>
      <selection activeCell="E95" sqref="E95"/>
      <selection pane="bottomLeft" activeCell="F5" sqref="F5"/>
    </sheetView>
  </sheetViews>
  <sheetFormatPr defaultRowHeight="14.4" x14ac:dyDescent="0.3"/>
  <cols>
    <col min="1" max="1" width="11.21875" style="2" customWidth="1"/>
    <col min="2" max="2" width="22" bestFit="1" customWidth="1"/>
    <col min="3" max="3" width="13.33203125" customWidth="1"/>
    <col min="4" max="4" width="10.77734375" style="2" customWidth="1"/>
    <col min="5" max="8" width="16.44140625" style="2" customWidth="1"/>
    <col min="9" max="9" width="16.44140625" style="3" customWidth="1"/>
    <col min="10" max="10" width="16.44140625" style="2" customWidth="1"/>
    <col min="19" max="19" width="26.77734375" bestFit="1" customWidth="1"/>
  </cols>
  <sheetData>
    <row r="1" spans="1:19" ht="24.6" customHeight="1" x14ac:dyDescent="0.3">
      <c r="A1" s="1" t="s">
        <v>0</v>
      </c>
    </row>
    <row r="2" spans="1:19" s="7" customFormat="1" ht="19.2" customHeight="1" x14ac:dyDescent="0.3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/>
    </row>
    <row r="3" spans="1:19" x14ac:dyDescent="0.3">
      <c r="A3" s="2">
        <v>1542</v>
      </c>
      <c r="B3" t="s">
        <v>11</v>
      </c>
      <c r="C3" s="8">
        <v>32940</v>
      </c>
      <c r="D3" s="2" t="s">
        <v>12</v>
      </c>
      <c r="E3" s="2" t="str">
        <f>VLOOKUP($A$3,'лист 2'!$A$3:$D$267,2,0)</f>
        <v>AI</v>
      </c>
      <c r="F3" s="9">
        <f>VLOOKUP($A$3,'лист 2'!$A$3:$D$267,3,0)</f>
        <v>45020</v>
      </c>
      <c r="G3" s="9" t="str">
        <f>VLOOKUP($A$3,'лист 2'!$A$3:$D$267,4,0)</f>
        <v>вебинар</v>
      </c>
      <c r="H3" s="2">
        <f>VLOOKUP($E3,'лист 3'!$A$3:$B$7,2,0)</f>
        <v>150</v>
      </c>
      <c r="I3" s="10">
        <f>VLOOKUP($G3,'лист 3'!$E$3:$F$5,2,0)</f>
        <v>0.1</v>
      </c>
      <c r="J3" s="3">
        <f>H3-H3*I3</f>
        <v>135</v>
      </c>
      <c r="S3" s="11" t="s">
        <v>13</v>
      </c>
    </row>
    <row r="4" spans="1:19" x14ac:dyDescent="0.3">
      <c r="A4" s="2">
        <v>1547</v>
      </c>
      <c r="B4" t="s">
        <v>14</v>
      </c>
      <c r="C4" s="8">
        <v>31180</v>
      </c>
      <c r="D4" s="2" t="s">
        <v>12</v>
      </c>
      <c r="E4" s="2" t="str">
        <f>VLOOKUP(A4,'лист 2'!$A$3:$D$267,2,0)</f>
        <v>AI</v>
      </c>
      <c r="F4" s="9">
        <f>VLOOKUP($A$3,'лист 2'!$A$3:$D$267,3,0)</f>
        <v>45020</v>
      </c>
      <c r="G4" s="9" t="str">
        <f>VLOOKUP($A$3,'лист 2'!$A$3:$D$267,4,0)</f>
        <v>вебинар</v>
      </c>
      <c r="H4" s="2">
        <f>VLOOKUP($E4,'лист 3'!$A$3:$B$7,2,0)</f>
        <v>150</v>
      </c>
      <c r="I4" s="10">
        <f>VLOOKUP($G4,'лист 3'!$E$3:$F$5,2,0)</f>
        <v>0.1</v>
      </c>
      <c r="J4" s="3">
        <f t="shared" ref="J4:J67" si="0">H4-H4*I4</f>
        <v>135</v>
      </c>
      <c r="S4" t="s">
        <v>15</v>
      </c>
    </row>
    <row r="5" spans="1:19" x14ac:dyDescent="0.3">
      <c r="A5" s="2">
        <v>1185</v>
      </c>
      <c r="B5" t="s">
        <v>16</v>
      </c>
      <c r="C5" s="8">
        <v>24253</v>
      </c>
      <c r="D5" s="2" t="s">
        <v>12</v>
      </c>
      <c r="E5" s="2" t="str">
        <f>VLOOKUP(A5,'лист 2'!$A$3:$D$267,2,0)</f>
        <v>AI</v>
      </c>
      <c r="F5" s="9">
        <f>VLOOKUP($A$3,'лист 2'!$A$3:$D$267,3,0)</f>
        <v>45020</v>
      </c>
      <c r="G5" s="9" t="str">
        <f>VLOOKUP($A$3,'лист 2'!$A$3:$D$267,4,0)</f>
        <v>вебинар</v>
      </c>
      <c r="H5" s="2">
        <f>VLOOKUP($E5,'лист 3'!$A$3:$B$7,2,0)</f>
        <v>150</v>
      </c>
      <c r="I5" s="10">
        <f>VLOOKUP($G5,'лист 3'!$E$3:$F$5,2,0)</f>
        <v>0.1</v>
      </c>
      <c r="J5" s="3">
        <f t="shared" si="0"/>
        <v>135</v>
      </c>
      <c r="S5" t="s">
        <v>17</v>
      </c>
    </row>
    <row r="6" spans="1:19" x14ac:dyDescent="0.3">
      <c r="A6" s="2">
        <v>1190</v>
      </c>
      <c r="B6" t="s">
        <v>18</v>
      </c>
      <c r="C6" s="8">
        <v>22651</v>
      </c>
      <c r="D6" s="2" t="s">
        <v>19</v>
      </c>
      <c r="E6" s="2" t="str">
        <f>VLOOKUP(A6,'лист 2'!$A$3:$D$267,2,0)</f>
        <v>AI</v>
      </c>
      <c r="F6" s="9">
        <f>VLOOKUP($A$3,'лист 2'!$A$3:$D$267,3,0)</f>
        <v>45020</v>
      </c>
      <c r="G6" s="9" t="str">
        <f>VLOOKUP($A$3,'лист 2'!$A$3:$D$267,4,0)</f>
        <v>вебинар</v>
      </c>
      <c r="H6" s="2">
        <f>VLOOKUP($E6,'лист 3'!$A$3:$B$7,2,0)</f>
        <v>150</v>
      </c>
      <c r="I6" s="10">
        <f>VLOOKUP($G6,'лист 3'!$E$3:$F$5,2,0)</f>
        <v>0.1</v>
      </c>
      <c r="J6" s="3">
        <f t="shared" si="0"/>
        <v>135</v>
      </c>
      <c r="S6" t="s">
        <v>20</v>
      </c>
    </row>
    <row r="7" spans="1:19" x14ac:dyDescent="0.3">
      <c r="A7" s="2">
        <v>1195</v>
      </c>
      <c r="B7" t="s">
        <v>21</v>
      </c>
      <c r="C7" s="8">
        <v>26881</v>
      </c>
      <c r="D7" s="2" t="s">
        <v>22</v>
      </c>
      <c r="E7" s="2" t="str">
        <f>VLOOKUP(A7,'лист 2'!$A$3:$D$267,2,0)</f>
        <v>AI</v>
      </c>
      <c r="F7" s="9">
        <f>VLOOKUP($A$3,'лист 2'!$A$3:$D$267,3,0)</f>
        <v>45020</v>
      </c>
      <c r="G7" s="9" t="str">
        <f>VLOOKUP($A$3,'лист 2'!$A$3:$D$267,4,0)</f>
        <v>вебинар</v>
      </c>
      <c r="H7" s="2">
        <f>VLOOKUP($E7,'лист 3'!$A$3:$B$7,2,0)</f>
        <v>150</v>
      </c>
      <c r="I7" s="10">
        <f>VLOOKUP($G7,'лист 3'!$E$3:$F$5,2,0)</f>
        <v>0.1</v>
      </c>
      <c r="J7" s="3">
        <f t="shared" si="0"/>
        <v>135</v>
      </c>
      <c r="S7" t="s">
        <v>23</v>
      </c>
    </row>
    <row r="8" spans="1:19" x14ac:dyDescent="0.3">
      <c r="A8" s="2">
        <v>1210</v>
      </c>
      <c r="B8" t="s">
        <v>24</v>
      </c>
      <c r="C8" s="8">
        <v>30642</v>
      </c>
      <c r="D8" s="2" t="s">
        <v>12</v>
      </c>
      <c r="E8" s="2" t="str">
        <f>VLOOKUP(A8,'лист 2'!$A$3:$D$267,2,0)</f>
        <v>AI</v>
      </c>
      <c r="F8" s="9">
        <f>VLOOKUP($A$3,'лист 2'!$A$3:$D$267,3,0)</f>
        <v>45020</v>
      </c>
      <c r="G8" s="9" t="str">
        <f>VLOOKUP($A$3,'лист 2'!$A$3:$D$267,4,0)</f>
        <v>вебинар</v>
      </c>
      <c r="H8" s="2">
        <f>VLOOKUP($E8,'лист 3'!$A$3:$B$7,2,0)</f>
        <v>150</v>
      </c>
      <c r="I8" s="10">
        <f>VLOOKUP($G8,'лист 3'!$E$3:$F$5,2,0)</f>
        <v>0.1</v>
      </c>
      <c r="J8" s="3">
        <f t="shared" si="0"/>
        <v>135</v>
      </c>
      <c r="S8" t="s">
        <v>25</v>
      </c>
    </row>
    <row r="9" spans="1:19" x14ac:dyDescent="0.3">
      <c r="A9" s="2">
        <v>1215</v>
      </c>
      <c r="B9" t="s">
        <v>26</v>
      </c>
      <c r="C9" s="8">
        <v>32071</v>
      </c>
      <c r="D9" s="2" t="s">
        <v>12</v>
      </c>
      <c r="E9" s="2" t="str">
        <f>VLOOKUP(A9,'лист 2'!$A$3:$D$267,2,0)</f>
        <v>AI</v>
      </c>
      <c r="F9" s="9">
        <f>VLOOKUP($A$3,'лист 2'!$A$3:$D$267,3,0)</f>
        <v>45020</v>
      </c>
      <c r="G9" s="9" t="str">
        <f>VLOOKUP($A$3,'лист 2'!$A$3:$D$267,4,0)</f>
        <v>вебинар</v>
      </c>
      <c r="H9" s="2">
        <f>VLOOKUP($E9,'лист 3'!$A$3:$B$7,2,0)</f>
        <v>150</v>
      </c>
      <c r="I9" s="10">
        <f>VLOOKUP($G9,'лист 3'!$E$3:$F$5,2,0)</f>
        <v>0.1</v>
      </c>
      <c r="J9" s="3">
        <f t="shared" si="0"/>
        <v>135</v>
      </c>
      <c r="S9" s="11" t="s">
        <v>27</v>
      </c>
    </row>
    <row r="10" spans="1:19" x14ac:dyDescent="0.3">
      <c r="A10" s="2">
        <v>1290</v>
      </c>
      <c r="B10" t="s">
        <v>28</v>
      </c>
      <c r="C10" s="8">
        <v>33148</v>
      </c>
      <c r="D10" s="2" t="s">
        <v>19</v>
      </c>
      <c r="E10" s="2" t="str">
        <f>VLOOKUP(A10,'лист 2'!$A$3:$D$267,2,0)</f>
        <v>AI</v>
      </c>
      <c r="F10" s="9">
        <f>VLOOKUP($A$3,'лист 2'!$A$3:$D$267,3,0)</f>
        <v>45020</v>
      </c>
      <c r="G10" s="9" t="str">
        <f>VLOOKUP($A$3,'лист 2'!$A$3:$D$267,4,0)</f>
        <v>вебинар</v>
      </c>
      <c r="H10" s="2">
        <f>VLOOKUP($E10,'лист 3'!$A$3:$B$7,2,0)</f>
        <v>150</v>
      </c>
      <c r="I10" s="10">
        <f>VLOOKUP($G10,'лист 3'!$E$3:$F$5,2,0)</f>
        <v>0.1</v>
      </c>
      <c r="J10" s="3">
        <f t="shared" si="0"/>
        <v>135</v>
      </c>
      <c r="S10" t="s">
        <v>29</v>
      </c>
    </row>
    <row r="11" spans="1:19" x14ac:dyDescent="0.3">
      <c r="A11" s="2">
        <v>1220</v>
      </c>
      <c r="B11" t="s">
        <v>30</v>
      </c>
      <c r="C11" s="8">
        <v>24861</v>
      </c>
      <c r="D11" s="2" t="s">
        <v>22</v>
      </c>
      <c r="E11" s="2" t="str">
        <f>VLOOKUP(A11,'лист 2'!$A$3:$D$267,2,0)</f>
        <v>AI</v>
      </c>
      <c r="F11" s="9">
        <f>VLOOKUP($A$3,'лист 2'!$A$3:$D$267,3,0)</f>
        <v>45020</v>
      </c>
      <c r="G11" s="9" t="str">
        <f>VLOOKUP($A$3,'лист 2'!$A$3:$D$267,4,0)</f>
        <v>вебинар</v>
      </c>
      <c r="H11" s="2">
        <f>VLOOKUP($E11,'лист 3'!$A$3:$B$7,2,0)</f>
        <v>150</v>
      </c>
      <c r="I11" s="10">
        <f>VLOOKUP($G11,'лист 3'!$E$3:$F$5,2,0)</f>
        <v>0.1</v>
      </c>
      <c r="J11" s="3">
        <f t="shared" si="0"/>
        <v>135</v>
      </c>
      <c r="S11" t="s">
        <v>31</v>
      </c>
    </row>
    <row r="12" spans="1:19" x14ac:dyDescent="0.3">
      <c r="A12" s="2">
        <v>1295</v>
      </c>
      <c r="B12" t="s">
        <v>32</v>
      </c>
      <c r="C12" s="8">
        <v>24805</v>
      </c>
      <c r="D12" s="2" t="s">
        <v>19</v>
      </c>
      <c r="E12" s="2" t="str">
        <f>VLOOKUP(A12,'лист 2'!$A$3:$D$267,2,0)</f>
        <v>AI</v>
      </c>
      <c r="F12" s="9">
        <f>VLOOKUP($A$3,'лист 2'!$A$3:$D$267,3,0)</f>
        <v>45020</v>
      </c>
      <c r="G12" s="9" t="str">
        <f>VLOOKUP($A$3,'лист 2'!$A$3:$D$267,4,0)</f>
        <v>вебинар</v>
      </c>
      <c r="H12" s="2">
        <f>VLOOKUP($E12,'лист 3'!$A$3:$B$7,2,0)</f>
        <v>150</v>
      </c>
      <c r="I12" s="10">
        <f>VLOOKUP($G12,'лист 3'!$E$3:$F$5,2,0)</f>
        <v>0.1</v>
      </c>
      <c r="J12" s="3">
        <f t="shared" si="0"/>
        <v>135</v>
      </c>
      <c r="S12" t="s">
        <v>33</v>
      </c>
    </row>
    <row r="13" spans="1:19" x14ac:dyDescent="0.3">
      <c r="A13" s="2">
        <v>1310</v>
      </c>
      <c r="B13" t="s">
        <v>34</v>
      </c>
      <c r="C13" s="8">
        <v>24814</v>
      </c>
      <c r="D13" s="2" t="s">
        <v>12</v>
      </c>
      <c r="E13" s="2" t="str">
        <f>VLOOKUP(A13,'лист 2'!$A$3:$D$267,2,0)</f>
        <v>AI</v>
      </c>
      <c r="F13" s="9">
        <f>VLOOKUP($A$3,'лист 2'!$A$3:$D$267,3,0)</f>
        <v>45020</v>
      </c>
      <c r="G13" s="9" t="str">
        <f>VLOOKUP($A$3,'лист 2'!$A$3:$D$267,4,0)</f>
        <v>вебинар</v>
      </c>
      <c r="H13" s="2">
        <f>VLOOKUP($E13,'лист 3'!$A$3:$B$7,2,0)</f>
        <v>150</v>
      </c>
      <c r="I13" s="10">
        <f>VLOOKUP($G13,'лист 3'!$E$3:$F$5,2,0)</f>
        <v>0.1</v>
      </c>
      <c r="J13" s="3">
        <f t="shared" si="0"/>
        <v>135</v>
      </c>
      <c r="S13" t="s">
        <v>35</v>
      </c>
    </row>
    <row r="14" spans="1:19" x14ac:dyDescent="0.3">
      <c r="A14" s="2">
        <v>1552</v>
      </c>
      <c r="B14" t="s">
        <v>36</v>
      </c>
      <c r="C14" s="8">
        <v>38548</v>
      </c>
      <c r="D14" s="2" t="s">
        <v>19</v>
      </c>
      <c r="E14" s="2" t="str">
        <f>VLOOKUP(A14,'лист 2'!$A$3:$D$267,2,0)</f>
        <v>AI</v>
      </c>
      <c r="F14" s="9">
        <f>VLOOKUP($A$3,'лист 2'!$A$3:$D$267,3,0)</f>
        <v>45020</v>
      </c>
      <c r="G14" s="9" t="str">
        <f>VLOOKUP($A$3,'лист 2'!$A$3:$D$267,4,0)</f>
        <v>вебинар</v>
      </c>
      <c r="H14" s="2">
        <f>VLOOKUP($E14,'лист 3'!$A$3:$B$7,2,0)</f>
        <v>150</v>
      </c>
      <c r="I14" s="10">
        <f>VLOOKUP($G14,'лист 3'!$E$3:$F$5,2,0)</f>
        <v>0.1</v>
      </c>
      <c r="J14" s="3">
        <f t="shared" si="0"/>
        <v>135</v>
      </c>
      <c r="S14" t="s">
        <v>37</v>
      </c>
    </row>
    <row r="15" spans="1:19" x14ac:dyDescent="0.3">
      <c r="A15" s="2">
        <v>1200</v>
      </c>
      <c r="B15" t="s">
        <v>24</v>
      </c>
      <c r="C15" s="8">
        <v>29625</v>
      </c>
      <c r="D15" s="2" t="s">
        <v>12</v>
      </c>
      <c r="E15" s="2" t="str">
        <f>VLOOKUP(A15,'лист 2'!$A$3:$D$267,2,0)</f>
        <v>AI</v>
      </c>
      <c r="F15" s="9">
        <f>VLOOKUP($A$3,'лист 2'!$A$3:$D$267,3,0)</f>
        <v>45020</v>
      </c>
      <c r="G15" s="9" t="str">
        <f>VLOOKUP($A$3,'лист 2'!$A$3:$D$267,4,0)</f>
        <v>вебинар</v>
      </c>
      <c r="H15" s="2">
        <f>VLOOKUP($E15,'лист 3'!$A$3:$B$7,2,0)</f>
        <v>150</v>
      </c>
      <c r="I15" s="10">
        <f>VLOOKUP($G15,'лист 3'!$E$3:$F$5,2,0)</f>
        <v>0.1</v>
      </c>
      <c r="J15" s="3">
        <f t="shared" si="0"/>
        <v>135</v>
      </c>
      <c r="S15" t="s">
        <v>38</v>
      </c>
    </row>
    <row r="16" spans="1:19" x14ac:dyDescent="0.3">
      <c r="A16" s="2">
        <v>1205</v>
      </c>
      <c r="B16" t="s">
        <v>39</v>
      </c>
      <c r="C16" s="8">
        <v>33494</v>
      </c>
      <c r="D16" s="2" t="s">
        <v>12</v>
      </c>
      <c r="E16" s="2" t="str">
        <f>VLOOKUP(A16,'лист 2'!$A$3:$D$267,2,0)</f>
        <v>AI</v>
      </c>
      <c r="F16" s="9">
        <f>VLOOKUP($A$3,'лист 2'!$A$3:$D$267,3,0)</f>
        <v>45020</v>
      </c>
      <c r="G16" s="9" t="str">
        <f>VLOOKUP($A$3,'лист 2'!$A$3:$D$267,4,0)</f>
        <v>вебинар</v>
      </c>
      <c r="H16" s="2">
        <f>VLOOKUP($E16,'лист 3'!$A$3:$B$7,2,0)</f>
        <v>150</v>
      </c>
      <c r="I16" s="10">
        <f>VLOOKUP($G16,'лист 3'!$E$3:$F$5,2,0)</f>
        <v>0.1</v>
      </c>
      <c r="J16" s="3">
        <f t="shared" si="0"/>
        <v>135</v>
      </c>
      <c r="S16" t="s">
        <v>40</v>
      </c>
    </row>
    <row r="17" spans="1:19" x14ac:dyDescent="0.3">
      <c r="A17" s="2">
        <v>1300</v>
      </c>
      <c r="B17" t="s">
        <v>41</v>
      </c>
      <c r="C17" s="8">
        <v>35989</v>
      </c>
      <c r="D17" s="2" t="s">
        <v>12</v>
      </c>
      <c r="E17" s="2" t="str">
        <f>VLOOKUP(A17,'лист 2'!$A$3:$D$267,2,0)</f>
        <v>AI</v>
      </c>
      <c r="F17" s="9">
        <f>VLOOKUP($A$3,'лист 2'!$A$3:$D$267,3,0)</f>
        <v>45020</v>
      </c>
      <c r="G17" s="9" t="str">
        <f>VLOOKUP($A$3,'лист 2'!$A$3:$D$267,4,0)</f>
        <v>вебинар</v>
      </c>
      <c r="H17" s="2">
        <f>VLOOKUP($E17,'лист 3'!$A$3:$B$7,2,0)</f>
        <v>150</v>
      </c>
      <c r="I17" s="10">
        <f>VLOOKUP($G17,'лист 3'!$E$3:$F$5,2,0)</f>
        <v>0.1</v>
      </c>
      <c r="J17" s="3">
        <f t="shared" si="0"/>
        <v>135</v>
      </c>
      <c r="S17" s="11" t="s">
        <v>42</v>
      </c>
    </row>
    <row r="18" spans="1:19" x14ac:dyDescent="0.3">
      <c r="A18" s="2">
        <v>1557</v>
      </c>
      <c r="B18" t="s">
        <v>43</v>
      </c>
      <c r="C18" s="8">
        <v>38157</v>
      </c>
      <c r="D18" s="2" t="s">
        <v>12</v>
      </c>
      <c r="E18" s="2" t="str">
        <f>VLOOKUP(A18,'лист 2'!$A$3:$D$267,2,0)</f>
        <v>AI</v>
      </c>
      <c r="F18" s="9">
        <f>VLOOKUP($A$3,'лист 2'!$A$3:$D$267,3,0)</f>
        <v>45020</v>
      </c>
      <c r="G18" s="9" t="str">
        <f>VLOOKUP($A$3,'лист 2'!$A$3:$D$267,4,0)</f>
        <v>вебинар</v>
      </c>
      <c r="H18" s="2">
        <f>VLOOKUP($E18,'лист 3'!$A$3:$B$7,2,0)</f>
        <v>150</v>
      </c>
      <c r="I18" s="10">
        <f>VLOOKUP($G18,'лист 3'!$E$3:$F$5,2,0)</f>
        <v>0.1</v>
      </c>
      <c r="J18" s="3">
        <f t="shared" si="0"/>
        <v>135</v>
      </c>
      <c r="S18" t="s">
        <v>44</v>
      </c>
    </row>
    <row r="19" spans="1:19" x14ac:dyDescent="0.3">
      <c r="A19" s="2">
        <v>1315</v>
      </c>
      <c r="B19" t="s">
        <v>45</v>
      </c>
      <c r="C19" s="8">
        <v>27765</v>
      </c>
      <c r="D19" s="2" t="s">
        <v>12</v>
      </c>
      <c r="E19" s="2" t="str">
        <f>VLOOKUP(A19,'лист 2'!$A$3:$D$267,2,0)</f>
        <v>AI</v>
      </c>
      <c r="F19" s="9">
        <f>VLOOKUP($A$3,'лист 2'!$A$3:$D$267,3,0)</f>
        <v>45020</v>
      </c>
      <c r="G19" s="9" t="str">
        <f>VLOOKUP($A$3,'лист 2'!$A$3:$D$267,4,0)</f>
        <v>вебинар</v>
      </c>
      <c r="H19" s="2">
        <f>VLOOKUP($E19,'лист 3'!$A$3:$B$7,2,0)</f>
        <v>150</v>
      </c>
      <c r="I19" s="10">
        <f>VLOOKUP($G19,'лист 3'!$E$3:$F$5,2,0)</f>
        <v>0.1</v>
      </c>
      <c r="J19" s="3">
        <f t="shared" si="0"/>
        <v>135</v>
      </c>
      <c r="S19" t="s">
        <v>7</v>
      </c>
    </row>
    <row r="20" spans="1:19" x14ac:dyDescent="0.3">
      <c r="A20" s="2">
        <v>1320</v>
      </c>
      <c r="B20" t="s">
        <v>34</v>
      </c>
      <c r="C20" s="8">
        <v>22501</v>
      </c>
      <c r="D20" s="2" t="s">
        <v>19</v>
      </c>
      <c r="E20" s="2" t="str">
        <f>VLOOKUP(A20,'лист 2'!$A$3:$D$267,2,0)</f>
        <v>AI</v>
      </c>
      <c r="F20" s="9">
        <f>VLOOKUP($A$3,'лист 2'!$A$3:$D$267,3,0)</f>
        <v>45020</v>
      </c>
      <c r="G20" s="9" t="str">
        <f>VLOOKUP($A$3,'лист 2'!$A$3:$D$267,4,0)</f>
        <v>вебинар</v>
      </c>
      <c r="H20" s="2">
        <f>VLOOKUP($E20,'лист 3'!$A$3:$B$7,2,0)</f>
        <v>150</v>
      </c>
      <c r="I20" s="10">
        <f>VLOOKUP($G20,'лист 3'!$E$3:$F$5,2,0)</f>
        <v>0.1</v>
      </c>
      <c r="J20" s="3">
        <f t="shared" si="0"/>
        <v>135</v>
      </c>
      <c r="S20" t="s">
        <v>6</v>
      </c>
    </row>
    <row r="21" spans="1:19" x14ac:dyDescent="0.3">
      <c r="A21" s="2">
        <v>1372</v>
      </c>
      <c r="B21" t="s">
        <v>46</v>
      </c>
      <c r="C21" s="8">
        <v>22681</v>
      </c>
      <c r="D21" s="2" t="s">
        <v>12</v>
      </c>
      <c r="E21" s="2" t="str">
        <f>VLOOKUP(A21,'лист 2'!$A$3:$D$267,2,0)</f>
        <v>Excel</v>
      </c>
      <c r="F21" s="9">
        <f>VLOOKUP($A$3,'лист 2'!$A$3:$D$267,3,0)</f>
        <v>45020</v>
      </c>
      <c r="G21" s="9" t="str">
        <f>VLOOKUP($A$3,'лист 2'!$A$3:$D$267,4,0)</f>
        <v>вебинар</v>
      </c>
      <c r="H21" s="2">
        <f>VLOOKUP($E21,'лист 3'!$A$3:$B$7,2,0)</f>
        <v>400</v>
      </c>
      <c r="I21" s="10">
        <f>VLOOKUP($G21,'лист 3'!$E$3:$F$5,2,0)</f>
        <v>0.1</v>
      </c>
      <c r="J21" s="3">
        <f t="shared" si="0"/>
        <v>360</v>
      </c>
    </row>
    <row r="22" spans="1:19" x14ac:dyDescent="0.3">
      <c r="A22" s="2">
        <v>1430</v>
      </c>
      <c r="B22" t="s">
        <v>47</v>
      </c>
      <c r="C22" s="8">
        <v>36139</v>
      </c>
      <c r="D22" s="2" t="s">
        <v>12</v>
      </c>
      <c r="E22" s="2" t="str">
        <f>VLOOKUP(A22,'лист 2'!$A$3:$D$267,2,0)</f>
        <v>Excel</v>
      </c>
      <c r="F22" s="9">
        <f>VLOOKUP($A$3,'лист 2'!$A$3:$D$267,3,0)</f>
        <v>45020</v>
      </c>
      <c r="G22" s="9" t="str">
        <f>VLOOKUP($A$3,'лист 2'!$A$3:$D$267,4,0)</f>
        <v>вебинар</v>
      </c>
      <c r="H22" s="2">
        <f>VLOOKUP($E22,'лист 3'!$A$3:$B$7,2,0)</f>
        <v>400</v>
      </c>
      <c r="I22" s="10">
        <f>VLOOKUP($G22,'лист 3'!$E$3:$F$5,2,0)</f>
        <v>0.1</v>
      </c>
      <c r="J22" s="3">
        <f t="shared" si="0"/>
        <v>360</v>
      </c>
    </row>
    <row r="23" spans="1:19" x14ac:dyDescent="0.3">
      <c r="A23" s="2">
        <v>1448</v>
      </c>
      <c r="B23" t="s">
        <v>48</v>
      </c>
      <c r="C23" s="8">
        <v>30148</v>
      </c>
      <c r="D23" s="2" t="s">
        <v>12</v>
      </c>
      <c r="E23" s="2" t="str">
        <f>VLOOKUP(A23,'лист 2'!$A$3:$D$267,2,0)</f>
        <v>Excel</v>
      </c>
      <c r="F23" s="9">
        <f>VLOOKUP($A$3,'лист 2'!$A$3:$D$267,3,0)</f>
        <v>45020</v>
      </c>
      <c r="G23" s="9" t="str">
        <f>VLOOKUP($A$3,'лист 2'!$A$3:$D$267,4,0)</f>
        <v>вебинар</v>
      </c>
      <c r="H23" s="2">
        <f>VLOOKUP($E23,'лист 3'!$A$3:$B$7,2,0)</f>
        <v>400</v>
      </c>
      <c r="I23" s="10">
        <f>VLOOKUP($G23,'лист 3'!$E$3:$F$5,2,0)</f>
        <v>0.1</v>
      </c>
      <c r="J23" s="3">
        <f t="shared" si="0"/>
        <v>360</v>
      </c>
    </row>
    <row r="24" spans="1:19" x14ac:dyDescent="0.3">
      <c r="A24" s="2">
        <v>1435</v>
      </c>
      <c r="B24" t="s">
        <v>49</v>
      </c>
      <c r="C24" s="8">
        <v>22350</v>
      </c>
      <c r="D24" s="2" t="s">
        <v>12</v>
      </c>
      <c r="E24" s="2" t="str">
        <f>VLOOKUP(A24,'лист 2'!$A$3:$D$267,2,0)</f>
        <v>Excel</v>
      </c>
      <c r="F24" s="9">
        <f>VLOOKUP($A$3,'лист 2'!$A$3:$D$267,3,0)</f>
        <v>45020</v>
      </c>
      <c r="G24" s="9" t="str">
        <f>VLOOKUP($A$3,'лист 2'!$A$3:$D$267,4,0)</f>
        <v>вебинар</v>
      </c>
      <c r="H24" s="2">
        <f>VLOOKUP($E24,'лист 3'!$A$3:$B$7,2,0)</f>
        <v>400</v>
      </c>
      <c r="I24" s="10">
        <f>VLOOKUP($G24,'лист 3'!$E$3:$F$5,2,0)</f>
        <v>0.1</v>
      </c>
      <c r="J24" s="3">
        <f t="shared" si="0"/>
        <v>360</v>
      </c>
    </row>
    <row r="25" spans="1:19" x14ac:dyDescent="0.3">
      <c r="A25" s="2">
        <v>1453</v>
      </c>
      <c r="B25" t="s">
        <v>50</v>
      </c>
      <c r="C25" s="8">
        <v>35954</v>
      </c>
      <c r="D25" s="2" t="s">
        <v>12</v>
      </c>
      <c r="E25" s="2" t="str">
        <f>VLOOKUP(A25,'лист 2'!$A$3:$D$267,2,0)</f>
        <v>Excel</v>
      </c>
      <c r="F25" s="9">
        <f>VLOOKUP($A$3,'лист 2'!$A$3:$D$267,3,0)</f>
        <v>45020</v>
      </c>
      <c r="G25" s="9" t="str">
        <f>VLOOKUP($A$3,'лист 2'!$A$3:$D$267,4,0)</f>
        <v>вебинар</v>
      </c>
      <c r="H25" s="2">
        <f>VLOOKUP($E25,'лист 3'!$A$3:$B$7,2,0)</f>
        <v>400</v>
      </c>
      <c r="I25" s="10">
        <f>VLOOKUP($G25,'лист 3'!$E$3:$F$5,2,0)</f>
        <v>0.1</v>
      </c>
      <c r="J25" s="3">
        <f t="shared" si="0"/>
        <v>360</v>
      </c>
    </row>
    <row r="26" spans="1:19" x14ac:dyDescent="0.3">
      <c r="A26" s="2">
        <v>1004</v>
      </c>
      <c r="B26" t="s">
        <v>51</v>
      </c>
      <c r="C26" s="8">
        <v>35024</v>
      </c>
      <c r="D26" s="2" t="s">
        <v>19</v>
      </c>
      <c r="E26" s="2" t="str">
        <f>VLOOKUP(A26,'лист 2'!$A$3:$D$267,2,0)</f>
        <v>Excel</v>
      </c>
      <c r="F26" s="9">
        <f>VLOOKUP($A$3,'лист 2'!$A$3:$D$267,3,0)</f>
        <v>45020</v>
      </c>
      <c r="G26" s="9" t="str">
        <f>VLOOKUP($A$3,'лист 2'!$A$3:$D$267,4,0)</f>
        <v>вебинар</v>
      </c>
      <c r="H26" s="2">
        <f>VLOOKUP($E26,'лист 3'!$A$3:$B$7,2,0)</f>
        <v>400</v>
      </c>
      <c r="I26" s="10">
        <f>VLOOKUP($G26,'лист 3'!$E$3:$F$5,2,0)</f>
        <v>0.1</v>
      </c>
      <c r="J26" s="3">
        <f t="shared" si="0"/>
        <v>360</v>
      </c>
    </row>
    <row r="27" spans="1:19" x14ac:dyDescent="0.3">
      <c r="A27" s="2">
        <v>1009</v>
      </c>
      <c r="B27" t="s">
        <v>52</v>
      </c>
      <c r="C27" s="8">
        <v>25490</v>
      </c>
      <c r="D27" s="2" t="s">
        <v>19</v>
      </c>
      <c r="E27" s="2" t="str">
        <f>VLOOKUP(A27,'лист 2'!$A$3:$D$267,2,0)</f>
        <v>Excel</v>
      </c>
      <c r="F27" s="9">
        <f>VLOOKUP($A$3,'лист 2'!$A$3:$D$267,3,0)</f>
        <v>45020</v>
      </c>
      <c r="G27" s="9" t="str">
        <f>VLOOKUP($A$3,'лист 2'!$A$3:$D$267,4,0)</f>
        <v>вебинар</v>
      </c>
      <c r="H27" s="2">
        <f>VLOOKUP($E27,'лист 3'!$A$3:$B$7,2,0)</f>
        <v>400</v>
      </c>
      <c r="I27" s="10">
        <f>VLOOKUP($G27,'лист 3'!$E$3:$F$5,2,0)</f>
        <v>0.1</v>
      </c>
      <c r="J27" s="3">
        <f t="shared" si="0"/>
        <v>360</v>
      </c>
    </row>
    <row r="28" spans="1:19" x14ac:dyDescent="0.3">
      <c r="A28" s="2">
        <v>1029</v>
      </c>
      <c r="B28" t="s">
        <v>53</v>
      </c>
      <c r="C28" s="8">
        <v>31509</v>
      </c>
      <c r="D28" s="2" t="s">
        <v>22</v>
      </c>
      <c r="E28" s="2" t="str">
        <f>VLOOKUP(A28,'лист 2'!$A$3:$D$267,2,0)</f>
        <v>Excel</v>
      </c>
      <c r="F28" s="9">
        <f>VLOOKUP($A$3,'лист 2'!$A$3:$D$267,3,0)</f>
        <v>45020</v>
      </c>
      <c r="G28" s="9" t="str">
        <f>VLOOKUP($A$3,'лист 2'!$A$3:$D$267,4,0)</f>
        <v>вебинар</v>
      </c>
      <c r="H28" s="2">
        <f>VLOOKUP($E28,'лист 3'!$A$3:$B$7,2,0)</f>
        <v>400</v>
      </c>
      <c r="I28" s="10">
        <f>VLOOKUP($G28,'лист 3'!$E$3:$F$5,2,0)</f>
        <v>0.1</v>
      </c>
      <c r="J28" s="3">
        <f t="shared" si="0"/>
        <v>360</v>
      </c>
    </row>
    <row r="29" spans="1:19" x14ac:dyDescent="0.3">
      <c r="A29" s="2">
        <v>1035</v>
      </c>
      <c r="B29" t="s">
        <v>54</v>
      </c>
      <c r="C29" s="8">
        <v>37321</v>
      </c>
      <c r="D29" s="2" t="s">
        <v>19</v>
      </c>
      <c r="E29" s="2" t="str">
        <f>VLOOKUP(A29,'лист 2'!$A$3:$D$267,2,0)</f>
        <v>Excel</v>
      </c>
      <c r="F29" s="9">
        <f>VLOOKUP($A$3,'лист 2'!$A$3:$D$267,3,0)</f>
        <v>45020</v>
      </c>
      <c r="G29" s="9" t="str">
        <f>VLOOKUP($A$3,'лист 2'!$A$3:$D$267,4,0)</f>
        <v>вебинар</v>
      </c>
      <c r="H29" s="2">
        <f>VLOOKUP($E29,'лист 3'!$A$3:$B$7,2,0)</f>
        <v>400</v>
      </c>
      <c r="I29" s="10">
        <f>VLOOKUP($G29,'лист 3'!$E$3:$F$5,2,0)</f>
        <v>0.1</v>
      </c>
      <c r="J29" s="3">
        <f t="shared" si="0"/>
        <v>360</v>
      </c>
    </row>
    <row r="30" spans="1:19" x14ac:dyDescent="0.3">
      <c r="A30" s="2">
        <v>1043</v>
      </c>
      <c r="B30" t="s">
        <v>55</v>
      </c>
      <c r="C30" s="8">
        <v>28135</v>
      </c>
      <c r="D30" s="2" t="s">
        <v>19</v>
      </c>
      <c r="E30" s="2" t="str">
        <f>VLOOKUP(A30,'лист 2'!$A$3:$D$267,2,0)</f>
        <v>Excel</v>
      </c>
      <c r="F30" s="9">
        <f>VLOOKUP($A$3,'лист 2'!$A$3:$D$267,3,0)</f>
        <v>45020</v>
      </c>
      <c r="G30" s="9" t="str">
        <f>VLOOKUP($A$3,'лист 2'!$A$3:$D$267,4,0)</f>
        <v>вебинар</v>
      </c>
      <c r="H30" s="2">
        <f>VLOOKUP($E30,'лист 3'!$A$3:$B$7,2,0)</f>
        <v>400</v>
      </c>
      <c r="I30" s="10">
        <f>VLOOKUP($G30,'лист 3'!$E$3:$F$5,2,0)</f>
        <v>0.1</v>
      </c>
      <c r="J30" s="3">
        <f t="shared" si="0"/>
        <v>360</v>
      </c>
    </row>
    <row r="31" spans="1:19" x14ac:dyDescent="0.3">
      <c r="A31" s="2">
        <v>1051</v>
      </c>
      <c r="B31" t="s">
        <v>56</v>
      </c>
      <c r="C31" s="8">
        <v>36760</v>
      </c>
      <c r="D31" s="2" t="s">
        <v>19</v>
      </c>
      <c r="E31" s="2" t="str">
        <f>VLOOKUP(A31,'лист 2'!$A$3:$D$267,2,0)</f>
        <v>Excel</v>
      </c>
      <c r="F31" s="9">
        <f>VLOOKUP($A$3,'лист 2'!$A$3:$D$267,3,0)</f>
        <v>45020</v>
      </c>
      <c r="G31" s="9" t="str">
        <f>VLOOKUP($A$3,'лист 2'!$A$3:$D$267,4,0)</f>
        <v>вебинар</v>
      </c>
      <c r="H31" s="2">
        <f>VLOOKUP($E31,'лист 3'!$A$3:$B$7,2,0)</f>
        <v>400</v>
      </c>
      <c r="I31" s="10">
        <f>VLOOKUP($G31,'лист 3'!$E$3:$F$5,2,0)</f>
        <v>0.1</v>
      </c>
      <c r="J31" s="3">
        <f t="shared" si="0"/>
        <v>360</v>
      </c>
    </row>
    <row r="32" spans="1:19" x14ac:dyDescent="0.3">
      <c r="A32" s="2">
        <v>1054</v>
      </c>
      <c r="B32" t="s">
        <v>57</v>
      </c>
      <c r="C32" s="8">
        <v>37589</v>
      </c>
      <c r="D32" s="2" t="s">
        <v>22</v>
      </c>
      <c r="E32" s="2" t="str">
        <f>VLOOKUP(A32,'лист 2'!$A$3:$D$267,2,0)</f>
        <v>Excel</v>
      </c>
      <c r="F32" s="9">
        <f>VLOOKUP($A$3,'лист 2'!$A$3:$D$267,3,0)</f>
        <v>45020</v>
      </c>
      <c r="G32" s="9" t="str">
        <f>VLOOKUP($A$3,'лист 2'!$A$3:$D$267,4,0)</f>
        <v>вебинар</v>
      </c>
      <c r="H32" s="2">
        <f>VLOOKUP($E32,'лист 3'!$A$3:$B$7,2,0)</f>
        <v>400</v>
      </c>
      <c r="I32" s="10">
        <f>VLOOKUP($G32,'лист 3'!$E$3:$F$5,2,0)</f>
        <v>0.1</v>
      </c>
      <c r="J32" s="3">
        <f t="shared" si="0"/>
        <v>360</v>
      </c>
    </row>
    <row r="33" spans="1:10" x14ac:dyDescent="0.3">
      <c r="A33" s="2">
        <v>1058</v>
      </c>
      <c r="B33" t="s">
        <v>58</v>
      </c>
      <c r="C33" s="8">
        <v>34263</v>
      </c>
      <c r="D33" s="2" t="s">
        <v>19</v>
      </c>
      <c r="E33" s="2" t="str">
        <f>VLOOKUP(A33,'лист 2'!$A$3:$D$267,2,0)</f>
        <v>Excel</v>
      </c>
      <c r="F33" s="9">
        <f>VLOOKUP($A$3,'лист 2'!$A$3:$D$267,3,0)</f>
        <v>45020</v>
      </c>
      <c r="G33" s="9" t="str">
        <f>VLOOKUP($A$3,'лист 2'!$A$3:$D$267,4,0)</f>
        <v>вебинар</v>
      </c>
      <c r="H33" s="2">
        <f>VLOOKUP($E33,'лист 3'!$A$3:$B$7,2,0)</f>
        <v>400</v>
      </c>
      <c r="I33" s="10">
        <f>VLOOKUP($G33,'лист 3'!$E$3:$F$5,2,0)</f>
        <v>0.1</v>
      </c>
      <c r="J33" s="3">
        <f t="shared" si="0"/>
        <v>360</v>
      </c>
    </row>
    <row r="34" spans="1:10" x14ac:dyDescent="0.3">
      <c r="A34" s="2">
        <v>1062</v>
      </c>
      <c r="B34" t="s">
        <v>59</v>
      </c>
      <c r="C34" s="8">
        <v>29193</v>
      </c>
      <c r="D34" s="2" t="s">
        <v>19</v>
      </c>
      <c r="E34" s="2" t="str">
        <f>VLOOKUP(A34,'лист 2'!$A$3:$D$267,2,0)</f>
        <v>Excel</v>
      </c>
      <c r="F34" s="9">
        <f>VLOOKUP($A$3,'лист 2'!$A$3:$D$267,3,0)</f>
        <v>45020</v>
      </c>
      <c r="G34" s="9" t="str">
        <f>VLOOKUP($A$3,'лист 2'!$A$3:$D$267,4,0)</f>
        <v>вебинар</v>
      </c>
      <c r="H34" s="2">
        <f>VLOOKUP($E34,'лист 3'!$A$3:$B$7,2,0)</f>
        <v>400</v>
      </c>
      <c r="I34" s="10">
        <f>VLOOKUP($G34,'лист 3'!$E$3:$F$5,2,0)</f>
        <v>0.1</v>
      </c>
      <c r="J34" s="3">
        <f t="shared" si="0"/>
        <v>360</v>
      </c>
    </row>
    <row r="35" spans="1:10" x14ac:dyDescent="0.3">
      <c r="A35" s="2">
        <v>1065</v>
      </c>
      <c r="B35" t="s">
        <v>60</v>
      </c>
      <c r="C35" s="8">
        <v>29560</v>
      </c>
      <c r="D35" s="2" t="s">
        <v>19</v>
      </c>
      <c r="E35" s="2" t="str">
        <f>VLOOKUP(A35,'лист 2'!$A$3:$D$267,2,0)</f>
        <v>Excel</v>
      </c>
      <c r="F35" s="9">
        <f>VLOOKUP($A$3,'лист 2'!$A$3:$D$267,3,0)</f>
        <v>45020</v>
      </c>
      <c r="G35" s="9" t="str">
        <f>VLOOKUP($A$3,'лист 2'!$A$3:$D$267,4,0)</f>
        <v>вебинар</v>
      </c>
      <c r="H35" s="2">
        <f>VLOOKUP($E35,'лист 3'!$A$3:$B$7,2,0)</f>
        <v>400</v>
      </c>
      <c r="I35" s="10">
        <f>VLOOKUP($G35,'лист 3'!$E$3:$F$5,2,0)</f>
        <v>0.1</v>
      </c>
      <c r="J35" s="3">
        <f t="shared" si="0"/>
        <v>360</v>
      </c>
    </row>
    <row r="36" spans="1:10" x14ac:dyDescent="0.3">
      <c r="A36" s="2">
        <v>1067</v>
      </c>
      <c r="B36" t="s">
        <v>61</v>
      </c>
      <c r="C36" s="8">
        <v>31252</v>
      </c>
      <c r="D36" s="2" t="s">
        <v>22</v>
      </c>
      <c r="E36" s="2" t="str">
        <f>VLOOKUP(A36,'лист 2'!$A$3:$D$267,2,0)</f>
        <v>Excel</v>
      </c>
      <c r="F36" s="9">
        <f>VLOOKUP($A$3,'лист 2'!$A$3:$D$267,3,0)</f>
        <v>45020</v>
      </c>
      <c r="G36" s="9" t="str">
        <f>VLOOKUP($A$3,'лист 2'!$A$3:$D$267,4,0)</f>
        <v>вебинар</v>
      </c>
      <c r="H36" s="2">
        <f>VLOOKUP($E36,'лист 3'!$A$3:$B$7,2,0)</f>
        <v>400</v>
      </c>
      <c r="I36" s="10">
        <f>VLOOKUP($G36,'лист 3'!$E$3:$F$5,2,0)</f>
        <v>0.1</v>
      </c>
      <c r="J36" s="3">
        <f t="shared" si="0"/>
        <v>360</v>
      </c>
    </row>
    <row r="37" spans="1:10" x14ac:dyDescent="0.3">
      <c r="A37" s="2">
        <v>1072</v>
      </c>
      <c r="B37" t="s">
        <v>62</v>
      </c>
      <c r="C37" s="8">
        <v>23097</v>
      </c>
      <c r="D37" s="2" t="s">
        <v>19</v>
      </c>
      <c r="E37" s="2" t="str">
        <f>VLOOKUP(A37,'лист 2'!$A$3:$D$267,2,0)</f>
        <v>Excel</v>
      </c>
      <c r="F37" s="9">
        <f>VLOOKUP($A$3,'лист 2'!$A$3:$D$267,3,0)</f>
        <v>45020</v>
      </c>
      <c r="G37" s="9" t="str">
        <f>VLOOKUP($A$3,'лист 2'!$A$3:$D$267,4,0)</f>
        <v>вебинар</v>
      </c>
      <c r="H37" s="2">
        <f>VLOOKUP($E37,'лист 3'!$A$3:$B$7,2,0)</f>
        <v>400</v>
      </c>
      <c r="I37" s="10">
        <f>VLOOKUP($G37,'лист 3'!$E$3:$F$5,2,0)</f>
        <v>0.1</v>
      </c>
      <c r="J37" s="3">
        <f t="shared" si="0"/>
        <v>360</v>
      </c>
    </row>
    <row r="38" spans="1:10" x14ac:dyDescent="0.3">
      <c r="A38" s="2">
        <v>1075</v>
      </c>
      <c r="B38" t="s">
        <v>63</v>
      </c>
      <c r="C38" s="8">
        <v>29910</v>
      </c>
      <c r="D38" s="2" t="s">
        <v>22</v>
      </c>
      <c r="E38" s="2" t="str">
        <f>VLOOKUP(A38,'лист 2'!$A$3:$D$267,2,0)</f>
        <v>Excel</v>
      </c>
      <c r="F38" s="9">
        <f>VLOOKUP($A$3,'лист 2'!$A$3:$D$267,3,0)</f>
        <v>45020</v>
      </c>
      <c r="G38" s="9" t="str">
        <f>VLOOKUP($A$3,'лист 2'!$A$3:$D$267,4,0)</f>
        <v>вебинар</v>
      </c>
      <c r="H38" s="2">
        <f>VLOOKUP($E38,'лист 3'!$A$3:$B$7,2,0)</f>
        <v>400</v>
      </c>
      <c r="I38" s="10">
        <f>VLOOKUP($G38,'лист 3'!$E$3:$F$5,2,0)</f>
        <v>0.1</v>
      </c>
      <c r="J38" s="3">
        <f t="shared" si="0"/>
        <v>360</v>
      </c>
    </row>
    <row r="39" spans="1:10" x14ac:dyDescent="0.3">
      <c r="A39" s="2">
        <v>1077</v>
      </c>
      <c r="B39" t="s">
        <v>64</v>
      </c>
      <c r="C39" s="8">
        <v>29912</v>
      </c>
      <c r="D39" s="2" t="s">
        <v>22</v>
      </c>
      <c r="E39" s="2" t="str">
        <f>VLOOKUP(A39,'лист 2'!$A$3:$D$267,2,0)</f>
        <v>Excel</v>
      </c>
      <c r="F39" s="9">
        <f>VLOOKUP($A$3,'лист 2'!$A$3:$D$267,3,0)</f>
        <v>45020</v>
      </c>
      <c r="G39" s="9" t="str">
        <f>VLOOKUP($A$3,'лист 2'!$A$3:$D$267,4,0)</f>
        <v>вебинар</v>
      </c>
      <c r="H39" s="2">
        <f>VLOOKUP($E39,'лист 3'!$A$3:$B$7,2,0)</f>
        <v>400</v>
      </c>
      <c r="I39" s="10">
        <f>VLOOKUP($G39,'лист 3'!$E$3:$F$5,2,0)</f>
        <v>0.1</v>
      </c>
      <c r="J39" s="3">
        <f t="shared" si="0"/>
        <v>360</v>
      </c>
    </row>
    <row r="40" spans="1:10" x14ac:dyDescent="0.3">
      <c r="A40" s="2">
        <v>1080</v>
      </c>
      <c r="B40" t="s">
        <v>65</v>
      </c>
      <c r="C40" s="8">
        <v>31330</v>
      </c>
      <c r="D40" s="2" t="s">
        <v>22</v>
      </c>
      <c r="E40" s="2" t="str">
        <f>VLOOKUP(A40,'лист 2'!$A$3:$D$267,2,0)</f>
        <v>Excel</v>
      </c>
      <c r="F40" s="9">
        <f>VLOOKUP($A$3,'лист 2'!$A$3:$D$267,3,0)</f>
        <v>45020</v>
      </c>
      <c r="G40" s="9" t="str">
        <f>VLOOKUP($A$3,'лист 2'!$A$3:$D$267,4,0)</f>
        <v>вебинар</v>
      </c>
      <c r="H40" s="2">
        <f>VLOOKUP($E40,'лист 3'!$A$3:$B$7,2,0)</f>
        <v>400</v>
      </c>
      <c r="I40" s="10">
        <f>VLOOKUP($G40,'лист 3'!$E$3:$F$5,2,0)</f>
        <v>0.1</v>
      </c>
      <c r="J40" s="3">
        <f t="shared" si="0"/>
        <v>360</v>
      </c>
    </row>
    <row r="41" spans="1:10" x14ac:dyDescent="0.3">
      <c r="A41" s="2">
        <v>1082</v>
      </c>
      <c r="B41" t="s">
        <v>66</v>
      </c>
      <c r="C41" s="8">
        <v>38359</v>
      </c>
      <c r="D41" s="2" t="s">
        <v>19</v>
      </c>
      <c r="E41" s="2" t="str">
        <f>VLOOKUP(A41,'лист 2'!$A$3:$D$267,2,0)</f>
        <v>Excel</v>
      </c>
      <c r="F41" s="9">
        <f>VLOOKUP($A$3,'лист 2'!$A$3:$D$267,3,0)</f>
        <v>45020</v>
      </c>
      <c r="G41" s="9" t="str">
        <f>VLOOKUP($A$3,'лист 2'!$A$3:$D$267,4,0)</f>
        <v>вебинар</v>
      </c>
      <c r="H41" s="2">
        <f>VLOOKUP($E41,'лист 3'!$A$3:$B$7,2,0)</f>
        <v>400</v>
      </c>
      <c r="I41" s="10">
        <f>VLOOKUP($G41,'лист 3'!$E$3:$F$5,2,0)</f>
        <v>0.1</v>
      </c>
      <c r="J41" s="3">
        <f t="shared" si="0"/>
        <v>360</v>
      </c>
    </row>
    <row r="42" spans="1:10" x14ac:dyDescent="0.3">
      <c r="A42" s="2">
        <v>1085</v>
      </c>
      <c r="B42" t="s">
        <v>67</v>
      </c>
      <c r="C42" s="8">
        <v>21445</v>
      </c>
      <c r="D42" s="2" t="s">
        <v>22</v>
      </c>
      <c r="E42" s="2" t="str">
        <f>VLOOKUP(A42,'лист 2'!$A$3:$D$267,2,0)</f>
        <v>Excel</v>
      </c>
      <c r="F42" s="9">
        <f>VLOOKUP($A$3,'лист 2'!$A$3:$D$267,3,0)</f>
        <v>45020</v>
      </c>
      <c r="G42" s="9" t="str">
        <f>VLOOKUP($A$3,'лист 2'!$A$3:$D$267,4,0)</f>
        <v>вебинар</v>
      </c>
      <c r="H42" s="2">
        <f>VLOOKUP($E42,'лист 3'!$A$3:$B$7,2,0)</f>
        <v>400</v>
      </c>
      <c r="I42" s="10">
        <f>VLOOKUP($G42,'лист 3'!$E$3:$F$5,2,0)</f>
        <v>0.1</v>
      </c>
      <c r="J42" s="3">
        <f t="shared" si="0"/>
        <v>360</v>
      </c>
    </row>
    <row r="43" spans="1:10" x14ac:dyDescent="0.3">
      <c r="A43" s="2">
        <v>1539</v>
      </c>
      <c r="B43" t="s">
        <v>68</v>
      </c>
      <c r="C43" s="8">
        <v>28919</v>
      </c>
      <c r="D43" s="2" t="s">
        <v>22</v>
      </c>
      <c r="E43" s="2" t="str">
        <f>VLOOKUP(A43,'лист 2'!$A$3:$D$267,2,0)</f>
        <v>Excel</v>
      </c>
      <c r="F43" s="9">
        <f>VLOOKUP($A$3,'лист 2'!$A$3:$D$267,3,0)</f>
        <v>45020</v>
      </c>
      <c r="G43" s="9" t="str">
        <f>VLOOKUP($A$3,'лист 2'!$A$3:$D$267,4,0)</f>
        <v>вебинар</v>
      </c>
      <c r="H43" s="2">
        <f>VLOOKUP($E43,'лист 3'!$A$3:$B$7,2,0)</f>
        <v>400</v>
      </c>
      <c r="I43" s="10">
        <f>VLOOKUP($G43,'лист 3'!$E$3:$F$5,2,0)</f>
        <v>0.1</v>
      </c>
      <c r="J43" s="3">
        <f t="shared" si="0"/>
        <v>360</v>
      </c>
    </row>
    <row r="44" spans="1:10" x14ac:dyDescent="0.3">
      <c r="A44" s="2">
        <v>1115</v>
      </c>
      <c r="B44" t="s">
        <v>69</v>
      </c>
      <c r="C44" s="8">
        <v>26764</v>
      </c>
      <c r="D44" s="2" t="s">
        <v>22</v>
      </c>
      <c r="E44" s="2" t="str">
        <f>VLOOKUP(A44,'лист 2'!$A$3:$D$267,2,0)</f>
        <v>Excel</v>
      </c>
      <c r="F44" s="9">
        <f>VLOOKUP($A$3,'лист 2'!$A$3:$D$267,3,0)</f>
        <v>45020</v>
      </c>
      <c r="G44" s="9" t="str">
        <f>VLOOKUP($A$3,'лист 2'!$A$3:$D$267,4,0)</f>
        <v>вебинар</v>
      </c>
      <c r="H44" s="2">
        <f>VLOOKUP($E44,'лист 3'!$A$3:$B$7,2,0)</f>
        <v>400</v>
      </c>
      <c r="I44" s="10">
        <f>VLOOKUP($G44,'лист 3'!$E$3:$F$5,2,0)</f>
        <v>0.1</v>
      </c>
      <c r="J44" s="3">
        <f t="shared" si="0"/>
        <v>360</v>
      </c>
    </row>
    <row r="45" spans="1:10" x14ac:dyDescent="0.3">
      <c r="A45" s="2">
        <v>1117</v>
      </c>
      <c r="B45" t="s">
        <v>70</v>
      </c>
      <c r="C45" s="8">
        <v>32626</v>
      </c>
      <c r="D45" s="2" t="s">
        <v>19</v>
      </c>
      <c r="E45" s="2" t="str">
        <f>VLOOKUP(A45,'лист 2'!$A$3:$D$267,2,0)</f>
        <v>Excel</v>
      </c>
      <c r="F45" s="9">
        <f>VLOOKUP($A$3,'лист 2'!$A$3:$D$267,3,0)</f>
        <v>45020</v>
      </c>
      <c r="G45" s="9" t="str">
        <f>VLOOKUP($A$3,'лист 2'!$A$3:$D$267,4,0)</f>
        <v>вебинар</v>
      </c>
      <c r="H45" s="2">
        <f>VLOOKUP($E45,'лист 3'!$A$3:$B$7,2,0)</f>
        <v>400</v>
      </c>
      <c r="I45" s="10">
        <f>VLOOKUP($G45,'лист 3'!$E$3:$F$5,2,0)</f>
        <v>0.1</v>
      </c>
      <c r="J45" s="3">
        <f t="shared" si="0"/>
        <v>360</v>
      </c>
    </row>
    <row r="46" spans="1:10" x14ac:dyDescent="0.3">
      <c r="A46" s="2">
        <v>1120</v>
      </c>
      <c r="B46" t="s">
        <v>71</v>
      </c>
      <c r="C46" s="8">
        <v>25102</v>
      </c>
      <c r="D46" s="2" t="s">
        <v>72</v>
      </c>
      <c r="E46" s="2" t="str">
        <f>VLOOKUP(A46,'лист 2'!$A$3:$D$267,2,0)</f>
        <v>Excel</v>
      </c>
      <c r="F46" s="9">
        <f>VLOOKUP($A$3,'лист 2'!$A$3:$D$267,3,0)</f>
        <v>45020</v>
      </c>
      <c r="G46" s="9" t="str">
        <f>VLOOKUP($A$3,'лист 2'!$A$3:$D$267,4,0)</f>
        <v>вебинар</v>
      </c>
      <c r="H46" s="2">
        <f>VLOOKUP($E46,'лист 3'!$A$3:$B$7,2,0)</f>
        <v>400</v>
      </c>
      <c r="I46" s="10">
        <f>VLOOKUP($G46,'лист 3'!$E$3:$F$5,2,0)</f>
        <v>0.1</v>
      </c>
      <c r="J46" s="3">
        <f t="shared" si="0"/>
        <v>360</v>
      </c>
    </row>
    <row r="47" spans="1:10" x14ac:dyDescent="0.3">
      <c r="A47" s="2">
        <v>1122</v>
      </c>
      <c r="B47" t="s">
        <v>73</v>
      </c>
      <c r="C47" s="8">
        <v>28130</v>
      </c>
      <c r="D47" s="2" t="s">
        <v>22</v>
      </c>
      <c r="E47" s="2" t="str">
        <f>VLOOKUP(A47,'лист 2'!$A$3:$D$267,2,0)</f>
        <v>Excel</v>
      </c>
      <c r="F47" s="9">
        <f>VLOOKUP($A$3,'лист 2'!$A$3:$D$267,3,0)</f>
        <v>45020</v>
      </c>
      <c r="G47" s="9" t="str">
        <f>VLOOKUP($A$3,'лист 2'!$A$3:$D$267,4,0)</f>
        <v>вебинар</v>
      </c>
      <c r="H47" s="2">
        <f>VLOOKUP($E47,'лист 3'!$A$3:$B$7,2,0)</f>
        <v>400</v>
      </c>
      <c r="I47" s="10">
        <f>VLOOKUP($G47,'лист 3'!$E$3:$F$5,2,0)</f>
        <v>0.1</v>
      </c>
      <c r="J47" s="3">
        <f t="shared" si="0"/>
        <v>360</v>
      </c>
    </row>
    <row r="48" spans="1:10" x14ac:dyDescent="0.3">
      <c r="A48" s="2">
        <v>1292</v>
      </c>
      <c r="B48" t="s">
        <v>74</v>
      </c>
      <c r="C48" s="8">
        <v>27794</v>
      </c>
      <c r="D48" s="2" t="s">
        <v>19</v>
      </c>
      <c r="E48" s="2" t="str">
        <f>VLOOKUP(A48,'лист 2'!$A$3:$D$267,2,0)</f>
        <v>Excel</v>
      </c>
      <c r="F48" s="9">
        <f>VLOOKUP($A$3,'лист 2'!$A$3:$D$267,3,0)</f>
        <v>45020</v>
      </c>
      <c r="G48" s="9" t="str">
        <f>VLOOKUP($A$3,'лист 2'!$A$3:$D$267,4,0)</f>
        <v>вебинар</v>
      </c>
      <c r="H48" s="2">
        <f>VLOOKUP($E48,'лист 3'!$A$3:$B$7,2,0)</f>
        <v>400</v>
      </c>
      <c r="I48" s="10">
        <f>VLOOKUP($G48,'лист 3'!$E$3:$F$5,2,0)</f>
        <v>0.1</v>
      </c>
      <c r="J48" s="3">
        <f t="shared" si="0"/>
        <v>360</v>
      </c>
    </row>
    <row r="49" spans="1:10" x14ac:dyDescent="0.3">
      <c r="A49" s="2">
        <v>1544</v>
      </c>
      <c r="B49" t="s">
        <v>75</v>
      </c>
      <c r="C49" s="8">
        <v>36879</v>
      </c>
      <c r="D49" s="2" t="s">
        <v>19</v>
      </c>
      <c r="E49" s="2" t="str">
        <f>VLOOKUP(A49,'лист 2'!$A$3:$D$267,2,0)</f>
        <v>Excel</v>
      </c>
      <c r="F49" s="9">
        <f>VLOOKUP($A$3,'лист 2'!$A$3:$D$267,3,0)</f>
        <v>45020</v>
      </c>
      <c r="G49" s="9" t="str">
        <f>VLOOKUP($A$3,'лист 2'!$A$3:$D$267,4,0)</f>
        <v>вебинар</v>
      </c>
      <c r="H49" s="2">
        <f>VLOOKUP($E49,'лист 3'!$A$3:$B$7,2,0)</f>
        <v>400</v>
      </c>
      <c r="I49" s="10">
        <f>VLOOKUP($G49,'лист 3'!$E$3:$F$5,2,0)</f>
        <v>0.1</v>
      </c>
      <c r="J49" s="3">
        <f t="shared" si="0"/>
        <v>360</v>
      </c>
    </row>
    <row r="50" spans="1:10" x14ac:dyDescent="0.3">
      <c r="A50" s="2">
        <v>1312</v>
      </c>
      <c r="B50" t="s">
        <v>76</v>
      </c>
      <c r="C50" s="8">
        <v>22595</v>
      </c>
      <c r="D50" s="2" t="s">
        <v>19</v>
      </c>
      <c r="E50" s="2" t="str">
        <f>VLOOKUP(A50,'лист 2'!$A$3:$D$267,2,0)</f>
        <v>Excel</v>
      </c>
      <c r="F50" s="9">
        <f>VLOOKUP($A$3,'лист 2'!$A$3:$D$267,3,0)</f>
        <v>45020</v>
      </c>
      <c r="G50" s="9" t="str">
        <f>VLOOKUP($A$3,'лист 2'!$A$3:$D$267,4,0)</f>
        <v>вебинар</v>
      </c>
      <c r="H50" s="2">
        <f>VLOOKUP($E50,'лист 3'!$A$3:$B$7,2,0)</f>
        <v>400</v>
      </c>
      <c r="I50" s="10">
        <f>VLOOKUP($G50,'лист 3'!$E$3:$F$5,2,0)</f>
        <v>0.1</v>
      </c>
      <c r="J50" s="3">
        <f t="shared" si="0"/>
        <v>360</v>
      </c>
    </row>
    <row r="51" spans="1:10" x14ac:dyDescent="0.3">
      <c r="A51" s="2">
        <v>1549</v>
      </c>
      <c r="B51" t="s">
        <v>77</v>
      </c>
      <c r="C51" s="8">
        <v>33682</v>
      </c>
      <c r="D51" s="2" t="s">
        <v>72</v>
      </c>
      <c r="E51" s="2" t="str">
        <f>VLOOKUP(A51,'лист 2'!$A$3:$D$267,2,0)</f>
        <v>Excel</v>
      </c>
      <c r="F51" s="9">
        <f>VLOOKUP($A$3,'лист 2'!$A$3:$D$267,3,0)</f>
        <v>45020</v>
      </c>
      <c r="G51" s="9" t="str">
        <f>VLOOKUP($A$3,'лист 2'!$A$3:$D$267,4,0)</f>
        <v>вебинар</v>
      </c>
      <c r="H51" s="2">
        <f>VLOOKUP($E51,'лист 3'!$A$3:$B$7,2,0)</f>
        <v>400</v>
      </c>
      <c r="I51" s="10">
        <f>VLOOKUP($G51,'лист 3'!$E$3:$F$5,2,0)</f>
        <v>0.1</v>
      </c>
      <c r="J51" s="3">
        <f t="shared" si="0"/>
        <v>360</v>
      </c>
    </row>
    <row r="52" spans="1:10" x14ac:dyDescent="0.3">
      <c r="A52" s="2">
        <v>1187</v>
      </c>
      <c r="B52" t="s">
        <v>78</v>
      </c>
      <c r="C52" s="8">
        <v>36059</v>
      </c>
      <c r="D52" s="2" t="s">
        <v>79</v>
      </c>
      <c r="E52" s="2" t="str">
        <f>VLOOKUP(A52,'лист 2'!$A$3:$D$267,2,0)</f>
        <v>Excel</v>
      </c>
      <c r="F52" s="9">
        <f>VLOOKUP($A$3,'лист 2'!$A$3:$D$267,3,0)</f>
        <v>45020</v>
      </c>
      <c r="G52" s="9" t="str">
        <f>VLOOKUP($A$3,'лист 2'!$A$3:$D$267,4,0)</f>
        <v>вебинар</v>
      </c>
      <c r="H52" s="2">
        <f>VLOOKUP($E52,'лист 3'!$A$3:$B$7,2,0)</f>
        <v>400</v>
      </c>
      <c r="I52" s="10">
        <f>VLOOKUP($G52,'лист 3'!$E$3:$F$5,2,0)</f>
        <v>0.1</v>
      </c>
      <c r="J52" s="3">
        <f t="shared" si="0"/>
        <v>360</v>
      </c>
    </row>
    <row r="53" spans="1:10" x14ac:dyDescent="0.3">
      <c r="A53" s="2">
        <v>1192</v>
      </c>
      <c r="B53" t="s">
        <v>80</v>
      </c>
      <c r="C53" s="8">
        <v>27210</v>
      </c>
      <c r="D53" s="2" t="s">
        <v>81</v>
      </c>
      <c r="E53" s="2" t="str">
        <f>VLOOKUP(A53,'лист 2'!$A$3:$D$267,2,0)</f>
        <v>Excel</v>
      </c>
      <c r="F53" s="9">
        <f>VLOOKUP($A$3,'лист 2'!$A$3:$D$267,3,0)</f>
        <v>45020</v>
      </c>
      <c r="G53" s="9" t="str">
        <f>VLOOKUP($A$3,'лист 2'!$A$3:$D$267,4,0)</f>
        <v>вебинар</v>
      </c>
      <c r="H53" s="2">
        <f>VLOOKUP($E53,'лист 3'!$A$3:$B$7,2,0)</f>
        <v>400</v>
      </c>
      <c r="I53" s="10">
        <f>VLOOKUP($G53,'лист 3'!$E$3:$F$5,2,0)</f>
        <v>0.1</v>
      </c>
      <c r="J53" s="3">
        <f t="shared" si="0"/>
        <v>360</v>
      </c>
    </row>
    <row r="54" spans="1:10" x14ac:dyDescent="0.3">
      <c r="A54" s="2">
        <v>1197</v>
      </c>
      <c r="B54" t="s">
        <v>82</v>
      </c>
      <c r="C54" s="8">
        <v>28724</v>
      </c>
      <c r="D54" s="2" t="s">
        <v>19</v>
      </c>
      <c r="E54" s="2" t="str">
        <f>VLOOKUP(A54,'лист 2'!$A$3:$D$267,2,0)</f>
        <v>Excel</v>
      </c>
      <c r="F54" s="9">
        <f>VLOOKUP($A$3,'лист 2'!$A$3:$D$267,3,0)</f>
        <v>45020</v>
      </c>
      <c r="G54" s="9" t="str">
        <f>VLOOKUP($A$3,'лист 2'!$A$3:$D$267,4,0)</f>
        <v>вебинар</v>
      </c>
      <c r="H54" s="2">
        <f>VLOOKUP($E54,'лист 3'!$A$3:$B$7,2,0)</f>
        <v>400</v>
      </c>
      <c r="I54" s="10">
        <f>VLOOKUP($G54,'лист 3'!$E$3:$F$5,2,0)</f>
        <v>0.1</v>
      </c>
      <c r="J54" s="3">
        <f t="shared" si="0"/>
        <v>360</v>
      </c>
    </row>
    <row r="55" spans="1:10" x14ac:dyDescent="0.3">
      <c r="A55" s="2">
        <v>1554</v>
      </c>
      <c r="B55" t="s">
        <v>83</v>
      </c>
      <c r="C55" s="8">
        <v>34430</v>
      </c>
      <c r="D55" s="2" t="s">
        <v>12</v>
      </c>
      <c r="E55" s="2" t="str">
        <f>VLOOKUP(A55,'лист 2'!$A$3:$D$267,2,0)</f>
        <v>Excel</v>
      </c>
      <c r="F55" s="9">
        <f>VLOOKUP($A$3,'лист 2'!$A$3:$D$267,3,0)</f>
        <v>45020</v>
      </c>
      <c r="G55" s="9" t="str">
        <f>VLOOKUP($A$3,'лист 2'!$A$3:$D$267,4,0)</f>
        <v>вебинар</v>
      </c>
      <c r="H55" s="2">
        <f>VLOOKUP($E55,'лист 3'!$A$3:$B$7,2,0)</f>
        <v>400</v>
      </c>
      <c r="I55" s="10">
        <f>VLOOKUP($G55,'лист 3'!$E$3:$F$5,2,0)</f>
        <v>0.1</v>
      </c>
      <c r="J55" s="3">
        <f t="shared" si="0"/>
        <v>360</v>
      </c>
    </row>
    <row r="56" spans="1:10" x14ac:dyDescent="0.3">
      <c r="A56" s="2">
        <v>1212</v>
      </c>
      <c r="B56" t="s">
        <v>84</v>
      </c>
      <c r="C56" s="8">
        <v>27057</v>
      </c>
      <c r="D56" s="2" t="s">
        <v>12</v>
      </c>
      <c r="E56" s="2" t="str">
        <f>VLOOKUP(A56,'лист 2'!$A$3:$D$267,2,0)</f>
        <v>Excel</v>
      </c>
      <c r="F56" s="9">
        <f>VLOOKUP($A$3,'лист 2'!$A$3:$D$267,3,0)</f>
        <v>45020</v>
      </c>
      <c r="G56" s="9" t="str">
        <f>VLOOKUP($A$3,'лист 2'!$A$3:$D$267,4,0)</f>
        <v>вебинар</v>
      </c>
      <c r="H56" s="2">
        <f>VLOOKUP($E56,'лист 3'!$A$3:$B$7,2,0)</f>
        <v>400</v>
      </c>
      <c r="I56" s="10">
        <f>VLOOKUP($G56,'лист 3'!$E$3:$F$5,2,0)</f>
        <v>0.1</v>
      </c>
      <c r="J56" s="3">
        <f t="shared" si="0"/>
        <v>360</v>
      </c>
    </row>
    <row r="57" spans="1:10" x14ac:dyDescent="0.3">
      <c r="A57" s="2">
        <v>1217</v>
      </c>
      <c r="B57" t="s">
        <v>85</v>
      </c>
      <c r="C57" s="8">
        <v>26186</v>
      </c>
      <c r="D57" s="2" t="s">
        <v>81</v>
      </c>
      <c r="E57" s="2" t="str">
        <f>VLOOKUP(A57,'лист 2'!$A$3:$D$267,2,0)</f>
        <v>Excel</v>
      </c>
      <c r="F57" s="9">
        <f>VLOOKUP($A$3,'лист 2'!$A$3:$D$267,3,0)</f>
        <v>45020</v>
      </c>
      <c r="G57" s="9" t="str">
        <f>VLOOKUP($A$3,'лист 2'!$A$3:$D$267,4,0)</f>
        <v>вебинар</v>
      </c>
      <c r="H57" s="2">
        <f>VLOOKUP($E57,'лист 3'!$A$3:$B$7,2,0)</f>
        <v>400</v>
      </c>
      <c r="I57" s="10">
        <f>VLOOKUP($G57,'лист 3'!$E$3:$F$5,2,0)</f>
        <v>0.1</v>
      </c>
      <c r="J57" s="3">
        <f t="shared" si="0"/>
        <v>360</v>
      </c>
    </row>
    <row r="58" spans="1:10" x14ac:dyDescent="0.3">
      <c r="A58" s="2">
        <v>1297</v>
      </c>
      <c r="B58" t="s">
        <v>86</v>
      </c>
      <c r="C58" s="8">
        <v>32118</v>
      </c>
      <c r="D58" s="2" t="s">
        <v>22</v>
      </c>
      <c r="E58" s="2" t="str">
        <f>VLOOKUP(A58,'лист 2'!$A$3:$D$267,2,0)</f>
        <v>Excel</v>
      </c>
      <c r="F58" s="9">
        <f>VLOOKUP($A$3,'лист 2'!$A$3:$D$267,3,0)</f>
        <v>45020</v>
      </c>
      <c r="G58" s="9" t="str">
        <f>VLOOKUP($A$3,'лист 2'!$A$3:$D$267,4,0)</f>
        <v>вебинар</v>
      </c>
      <c r="H58" s="2">
        <f>VLOOKUP($E58,'лист 3'!$A$3:$B$7,2,0)</f>
        <v>400</v>
      </c>
      <c r="I58" s="10">
        <f>VLOOKUP($G58,'лист 3'!$E$3:$F$5,2,0)</f>
        <v>0.1</v>
      </c>
      <c r="J58" s="3">
        <f t="shared" si="0"/>
        <v>360</v>
      </c>
    </row>
    <row r="59" spans="1:10" x14ac:dyDescent="0.3">
      <c r="A59" s="2">
        <v>1559</v>
      </c>
      <c r="B59" t="s">
        <v>87</v>
      </c>
      <c r="C59" s="8">
        <v>25805</v>
      </c>
      <c r="D59" s="2" t="s">
        <v>12</v>
      </c>
      <c r="E59" s="2" t="str">
        <f>VLOOKUP(A59,'лист 2'!$A$3:$D$267,2,0)</f>
        <v>Excel</v>
      </c>
      <c r="F59" s="9">
        <f>VLOOKUP($A$3,'лист 2'!$A$3:$D$267,3,0)</f>
        <v>45020</v>
      </c>
      <c r="G59" s="9" t="str">
        <f>VLOOKUP($A$3,'лист 2'!$A$3:$D$267,4,0)</f>
        <v>вебинар</v>
      </c>
      <c r="H59" s="2">
        <f>VLOOKUP($E59,'лист 3'!$A$3:$B$7,2,0)</f>
        <v>400</v>
      </c>
      <c r="I59" s="10">
        <f>VLOOKUP($G59,'лист 3'!$E$3:$F$5,2,0)</f>
        <v>0.1</v>
      </c>
      <c r="J59" s="3">
        <f t="shared" si="0"/>
        <v>360</v>
      </c>
    </row>
    <row r="60" spans="1:10" x14ac:dyDescent="0.3">
      <c r="A60" s="2">
        <v>1317</v>
      </c>
      <c r="B60" t="s">
        <v>88</v>
      </c>
      <c r="C60" s="8">
        <v>26619</v>
      </c>
      <c r="D60" s="2" t="s">
        <v>12</v>
      </c>
      <c r="E60" s="2" t="str">
        <f>VLOOKUP(A60,'лист 2'!$A$3:$D$267,2,0)</f>
        <v>Excel</v>
      </c>
      <c r="F60" s="9">
        <f>VLOOKUP($A$3,'лист 2'!$A$3:$D$267,3,0)</f>
        <v>45020</v>
      </c>
      <c r="G60" s="9" t="str">
        <f>VLOOKUP($A$3,'лист 2'!$A$3:$D$267,4,0)</f>
        <v>вебинар</v>
      </c>
      <c r="H60" s="2">
        <f>VLOOKUP($E60,'лист 3'!$A$3:$B$7,2,0)</f>
        <v>400</v>
      </c>
      <c r="I60" s="10">
        <f>VLOOKUP($G60,'лист 3'!$E$3:$F$5,2,0)</f>
        <v>0.1</v>
      </c>
      <c r="J60" s="3">
        <f t="shared" si="0"/>
        <v>360</v>
      </c>
    </row>
    <row r="61" spans="1:10" x14ac:dyDescent="0.3">
      <c r="A61" s="2">
        <v>1384</v>
      </c>
      <c r="B61" t="s">
        <v>89</v>
      </c>
      <c r="C61" s="8">
        <v>22165</v>
      </c>
      <c r="D61" s="2" t="s">
        <v>22</v>
      </c>
      <c r="E61" s="2" t="str">
        <f>VLOOKUP(A61,'лист 2'!$A$3:$D$267,2,0)</f>
        <v>Excel</v>
      </c>
      <c r="F61" s="9">
        <f>VLOOKUP($A$3,'лист 2'!$A$3:$D$267,3,0)</f>
        <v>45020</v>
      </c>
      <c r="G61" s="9" t="str">
        <f>VLOOKUP($A$3,'лист 2'!$A$3:$D$267,4,0)</f>
        <v>вебинар</v>
      </c>
      <c r="H61" s="2">
        <f>VLOOKUP($E61,'лист 3'!$A$3:$B$7,2,0)</f>
        <v>400</v>
      </c>
      <c r="I61" s="10">
        <f>VLOOKUP($G61,'лист 3'!$E$3:$F$5,2,0)</f>
        <v>0.1</v>
      </c>
      <c r="J61" s="3">
        <f t="shared" si="0"/>
        <v>360</v>
      </c>
    </row>
    <row r="62" spans="1:10" x14ac:dyDescent="0.3">
      <c r="A62" s="2">
        <v>1389</v>
      </c>
      <c r="B62" t="s">
        <v>90</v>
      </c>
      <c r="C62" s="8">
        <v>26202</v>
      </c>
      <c r="D62" s="2" t="s">
        <v>22</v>
      </c>
      <c r="E62" s="2" t="str">
        <f>VLOOKUP(A62,'лист 2'!$A$3:$D$267,2,0)</f>
        <v>Excel</v>
      </c>
      <c r="F62" s="9">
        <f>VLOOKUP($A$3,'лист 2'!$A$3:$D$267,3,0)</f>
        <v>45020</v>
      </c>
      <c r="G62" s="9" t="str">
        <f>VLOOKUP($A$3,'лист 2'!$A$3:$D$267,4,0)</f>
        <v>вебинар</v>
      </c>
      <c r="H62" s="2">
        <f>VLOOKUP($E62,'лист 3'!$A$3:$B$7,2,0)</f>
        <v>400</v>
      </c>
      <c r="I62" s="10">
        <f>VLOOKUP($G62,'лист 3'!$E$3:$F$5,2,0)</f>
        <v>0.1</v>
      </c>
      <c r="J62" s="3">
        <f t="shared" si="0"/>
        <v>360</v>
      </c>
    </row>
    <row r="63" spans="1:10" x14ac:dyDescent="0.3">
      <c r="A63" s="2">
        <v>1437</v>
      </c>
      <c r="B63" t="s">
        <v>91</v>
      </c>
      <c r="C63" s="8">
        <v>21585</v>
      </c>
      <c r="D63" s="2" t="s">
        <v>22</v>
      </c>
      <c r="E63" s="2" t="str">
        <f>VLOOKUP(A63,'лист 2'!$A$3:$D$267,2,0)</f>
        <v>Excel</v>
      </c>
      <c r="F63" s="9">
        <f>VLOOKUP($A$3,'лист 2'!$A$3:$D$267,3,0)</f>
        <v>45020</v>
      </c>
      <c r="G63" s="9" t="str">
        <f>VLOOKUP($A$3,'лист 2'!$A$3:$D$267,4,0)</f>
        <v>вебинар</v>
      </c>
      <c r="H63" s="2">
        <f>VLOOKUP($E63,'лист 3'!$A$3:$B$7,2,0)</f>
        <v>400</v>
      </c>
      <c r="I63" s="10">
        <f>VLOOKUP($G63,'лист 3'!$E$3:$F$5,2,0)</f>
        <v>0.1</v>
      </c>
      <c r="J63" s="3">
        <f t="shared" si="0"/>
        <v>360</v>
      </c>
    </row>
    <row r="64" spans="1:10" x14ac:dyDescent="0.3">
      <c r="A64" s="2">
        <v>1473</v>
      </c>
      <c r="B64" t="s">
        <v>92</v>
      </c>
      <c r="C64" s="8">
        <v>32474</v>
      </c>
      <c r="D64" s="2" t="s">
        <v>22</v>
      </c>
      <c r="E64" s="2" t="str">
        <f>VLOOKUP(A64,'лист 2'!$A$3:$D$267,2,0)</f>
        <v>Excel</v>
      </c>
      <c r="F64" s="9">
        <f>VLOOKUP($A$3,'лист 2'!$A$3:$D$267,3,0)</f>
        <v>45020</v>
      </c>
      <c r="G64" s="9" t="str">
        <f>VLOOKUP($A$3,'лист 2'!$A$3:$D$267,4,0)</f>
        <v>вебинар</v>
      </c>
      <c r="H64" s="2">
        <f>VLOOKUP($E64,'лист 3'!$A$3:$B$7,2,0)</f>
        <v>400</v>
      </c>
      <c r="I64" s="10">
        <f>VLOOKUP($G64,'лист 3'!$E$3:$F$5,2,0)</f>
        <v>0.1</v>
      </c>
      <c r="J64" s="3">
        <f t="shared" si="0"/>
        <v>360</v>
      </c>
    </row>
    <row r="65" spans="1:10" x14ac:dyDescent="0.3">
      <c r="A65" s="2">
        <v>1577</v>
      </c>
      <c r="B65" t="s">
        <v>93</v>
      </c>
      <c r="C65" s="8">
        <v>38124</v>
      </c>
      <c r="D65" s="2" t="s">
        <v>12</v>
      </c>
      <c r="E65" s="2" t="str">
        <f>VLOOKUP(A65,'лист 2'!$A$3:$D$267,2,0)</f>
        <v>Excel</v>
      </c>
      <c r="F65" s="9">
        <f>VLOOKUP($A$3,'лист 2'!$A$3:$D$267,3,0)</f>
        <v>45020</v>
      </c>
      <c r="G65" s="9" t="str">
        <f>VLOOKUP($A$3,'лист 2'!$A$3:$D$267,4,0)</f>
        <v>вебинар</v>
      </c>
      <c r="H65" s="2">
        <f>VLOOKUP($E65,'лист 3'!$A$3:$B$7,2,0)</f>
        <v>400</v>
      </c>
      <c r="I65" s="10">
        <f>VLOOKUP($G65,'лист 3'!$E$3:$F$5,2,0)</f>
        <v>0.1</v>
      </c>
      <c r="J65" s="3">
        <f t="shared" si="0"/>
        <v>360</v>
      </c>
    </row>
    <row r="66" spans="1:10" x14ac:dyDescent="0.3">
      <c r="A66" s="2">
        <v>1360</v>
      </c>
      <c r="B66" t="s">
        <v>94</v>
      </c>
      <c r="C66" s="8">
        <v>38126</v>
      </c>
      <c r="D66" s="2" t="s">
        <v>12</v>
      </c>
      <c r="E66" s="2" t="str">
        <f>VLOOKUP(A66,'лист 2'!$A$3:$D$267,2,0)</f>
        <v>Excel</v>
      </c>
      <c r="F66" s="9">
        <f>VLOOKUP($A$3,'лист 2'!$A$3:$D$267,3,0)</f>
        <v>45020</v>
      </c>
      <c r="G66" s="9" t="str">
        <f>VLOOKUP($A$3,'лист 2'!$A$3:$D$267,4,0)</f>
        <v>вебинар</v>
      </c>
      <c r="H66" s="2">
        <f>VLOOKUP($E66,'лист 3'!$A$3:$B$7,2,0)</f>
        <v>400</v>
      </c>
      <c r="I66" s="10">
        <f>VLOOKUP($G66,'лист 3'!$E$3:$F$5,2,0)</f>
        <v>0.1</v>
      </c>
      <c r="J66" s="3">
        <f t="shared" si="0"/>
        <v>360</v>
      </c>
    </row>
    <row r="67" spans="1:10" x14ac:dyDescent="0.3">
      <c r="A67" s="2">
        <v>1458</v>
      </c>
      <c r="B67" t="s">
        <v>95</v>
      </c>
      <c r="C67" s="8">
        <v>27000</v>
      </c>
      <c r="D67" s="2" t="s">
        <v>19</v>
      </c>
      <c r="E67" s="2" t="str">
        <f>VLOOKUP(A67,'лист 2'!$A$3:$D$267,2,0)</f>
        <v>Excel</v>
      </c>
      <c r="F67" s="9">
        <f>VLOOKUP($A$3,'лист 2'!$A$3:$D$267,3,0)</f>
        <v>45020</v>
      </c>
      <c r="G67" s="9" t="str">
        <f>VLOOKUP($A$3,'лист 2'!$A$3:$D$267,4,0)</f>
        <v>вебинар</v>
      </c>
      <c r="H67" s="2">
        <f>VLOOKUP($E67,'лист 3'!$A$3:$B$7,2,0)</f>
        <v>400</v>
      </c>
      <c r="I67" s="10">
        <f>VLOOKUP($G67,'лист 3'!$E$3:$F$5,2,0)</f>
        <v>0.1</v>
      </c>
      <c r="J67" s="3">
        <f t="shared" si="0"/>
        <v>360</v>
      </c>
    </row>
    <row r="68" spans="1:10" x14ac:dyDescent="0.3">
      <c r="A68" s="2">
        <v>1202</v>
      </c>
      <c r="B68" t="s">
        <v>96</v>
      </c>
      <c r="C68" s="8">
        <v>23659</v>
      </c>
      <c r="D68" s="2" t="s">
        <v>22</v>
      </c>
      <c r="E68" s="2" t="str">
        <f>VLOOKUP(A68,'лист 2'!$A$3:$D$267,2,0)</f>
        <v>Excel</v>
      </c>
      <c r="F68" s="9">
        <f>VLOOKUP($A$3,'лист 2'!$A$3:$D$267,3,0)</f>
        <v>45020</v>
      </c>
      <c r="G68" s="9" t="str">
        <f>VLOOKUP($A$3,'лист 2'!$A$3:$D$267,4,0)</f>
        <v>вебинар</v>
      </c>
      <c r="H68" s="2">
        <f>VLOOKUP($E68,'лист 3'!$A$3:$B$7,2,0)</f>
        <v>400</v>
      </c>
      <c r="I68" s="10">
        <f>VLOOKUP($G68,'лист 3'!$E$3:$F$5,2,0)</f>
        <v>0.1</v>
      </c>
      <c r="J68" s="3">
        <f t="shared" ref="J68:J131" si="1">H68-H68*I68</f>
        <v>360</v>
      </c>
    </row>
    <row r="69" spans="1:10" x14ac:dyDescent="0.3">
      <c r="A69" s="2">
        <v>1402</v>
      </c>
      <c r="B69" t="s">
        <v>97</v>
      </c>
      <c r="C69" s="8">
        <v>36641</v>
      </c>
      <c r="D69" s="2" t="s">
        <v>22</v>
      </c>
      <c r="E69" s="2" t="str">
        <f>VLOOKUP(A69,'лист 2'!$A$3:$D$267,2,0)</f>
        <v>Excel</v>
      </c>
      <c r="F69" s="9">
        <f>VLOOKUP($A$3,'лист 2'!$A$3:$D$267,3,0)</f>
        <v>45020</v>
      </c>
      <c r="G69" s="9" t="str">
        <f>VLOOKUP($A$3,'лист 2'!$A$3:$D$267,4,0)</f>
        <v>вебинар</v>
      </c>
      <c r="H69" s="2">
        <f>VLOOKUP($E69,'лист 3'!$A$3:$B$7,2,0)</f>
        <v>400</v>
      </c>
      <c r="I69" s="10">
        <f>VLOOKUP($G69,'лист 3'!$E$3:$F$5,2,0)</f>
        <v>0.1</v>
      </c>
      <c r="J69" s="3">
        <f t="shared" si="1"/>
        <v>360</v>
      </c>
    </row>
    <row r="70" spans="1:10" x14ac:dyDescent="0.3">
      <c r="A70" s="2">
        <v>1207</v>
      </c>
      <c r="B70" t="s">
        <v>98</v>
      </c>
      <c r="C70" s="8">
        <v>38420</v>
      </c>
      <c r="D70" s="2" t="s">
        <v>19</v>
      </c>
      <c r="E70" s="2" t="str">
        <f>VLOOKUP(A70,'лист 2'!$A$3:$D$267,2,0)</f>
        <v>Excel</v>
      </c>
      <c r="F70" s="9">
        <f>VLOOKUP($A$3,'лист 2'!$A$3:$D$267,3,0)</f>
        <v>45020</v>
      </c>
      <c r="G70" s="9" t="str">
        <f>VLOOKUP($A$3,'лист 2'!$A$3:$D$267,4,0)</f>
        <v>вебинар</v>
      </c>
      <c r="H70" s="2">
        <f>VLOOKUP($E70,'лист 3'!$A$3:$B$7,2,0)</f>
        <v>400</v>
      </c>
      <c r="I70" s="10">
        <f>VLOOKUP($G70,'лист 3'!$E$3:$F$5,2,0)</f>
        <v>0.1</v>
      </c>
      <c r="J70" s="3">
        <f t="shared" si="1"/>
        <v>360</v>
      </c>
    </row>
    <row r="71" spans="1:10" x14ac:dyDescent="0.3">
      <c r="A71" s="2">
        <v>1365</v>
      </c>
      <c r="B71" t="s">
        <v>88</v>
      </c>
      <c r="C71" s="8">
        <v>23145</v>
      </c>
      <c r="D71" s="2" t="s">
        <v>19</v>
      </c>
      <c r="E71" s="2" t="str">
        <f>VLOOKUP(A71,'лист 2'!$A$3:$D$267,2,0)</f>
        <v>Excel</v>
      </c>
      <c r="F71" s="9">
        <f>VLOOKUP($A$3,'лист 2'!$A$3:$D$267,3,0)</f>
        <v>45020</v>
      </c>
      <c r="G71" s="9" t="str">
        <f>VLOOKUP($A$3,'лист 2'!$A$3:$D$267,4,0)</f>
        <v>вебинар</v>
      </c>
      <c r="H71" s="2">
        <f>VLOOKUP($E71,'лист 3'!$A$3:$B$7,2,0)</f>
        <v>400</v>
      </c>
      <c r="I71" s="10">
        <f>VLOOKUP($G71,'лист 3'!$E$3:$F$5,2,0)</f>
        <v>0.1</v>
      </c>
      <c r="J71" s="3">
        <f t="shared" si="1"/>
        <v>360</v>
      </c>
    </row>
    <row r="72" spans="1:10" x14ac:dyDescent="0.3">
      <c r="A72" s="2">
        <v>1322</v>
      </c>
      <c r="B72" t="s">
        <v>74</v>
      </c>
      <c r="C72" s="8">
        <v>31409</v>
      </c>
      <c r="D72" s="2" t="s">
        <v>19</v>
      </c>
      <c r="E72" s="2" t="str">
        <f>VLOOKUP(A72,'лист 2'!$A$3:$D$267,2,0)</f>
        <v>Excel</v>
      </c>
      <c r="F72" s="9">
        <f>VLOOKUP($A$3,'лист 2'!$A$3:$D$267,3,0)</f>
        <v>45020</v>
      </c>
      <c r="G72" s="9" t="str">
        <f>VLOOKUP($A$3,'лист 2'!$A$3:$D$267,4,0)</f>
        <v>вебинар</v>
      </c>
      <c r="H72" s="2">
        <f>VLOOKUP($E72,'лист 3'!$A$3:$B$7,2,0)</f>
        <v>400</v>
      </c>
      <c r="I72" s="10">
        <f>VLOOKUP($G72,'лист 3'!$E$3:$F$5,2,0)</f>
        <v>0.1</v>
      </c>
      <c r="J72" s="3">
        <f t="shared" si="1"/>
        <v>360</v>
      </c>
    </row>
    <row r="73" spans="1:10" x14ac:dyDescent="0.3">
      <c r="A73" s="2">
        <v>1562</v>
      </c>
      <c r="B73" t="s">
        <v>99</v>
      </c>
      <c r="C73" s="8">
        <v>28417</v>
      </c>
      <c r="D73" s="2" t="s">
        <v>22</v>
      </c>
      <c r="E73" s="2" t="str">
        <f>VLOOKUP(A73,'лист 2'!$A$3:$D$267,2,0)</f>
        <v>Excel</v>
      </c>
      <c r="F73" s="9">
        <f>VLOOKUP($A$3,'лист 2'!$A$3:$D$267,3,0)</f>
        <v>45020</v>
      </c>
      <c r="G73" s="9" t="str">
        <f>VLOOKUP($A$3,'лист 2'!$A$3:$D$267,4,0)</f>
        <v>вебинар</v>
      </c>
      <c r="H73" s="2">
        <f>VLOOKUP($E73,'лист 3'!$A$3:$B$7,2,0)</f>
        <v>400</v>
      </c>
      <c r="I73" s="10">
        <f>VLOOKUP($G73,'лист 3'!$E$3:$F$5,2,0)</f>
        <v>0.1</v>
      </c>
      <c r="J73" s="3">
        <f t="shared" si="1"/>
        <v>360</v>
      </c>
    </row>
    <row r="74" spans="1:10" x14ac:dyDescent="0.3">
      <c r="A74" s="2">
        <v>1564</v>
      </c>
      <c r="B74" t="s">
        <v>100</v>
      </c>
      <c r="C74" s="8">
        <v>25255</v>
      </c>
      <c r="D74" s="2" t="s">
        <v>22</v>
      </c>
      <c r="E74" s="2" t="str">
        <f>VLOOKUP(A74,'лист 2'!$A$3:$D$267,2,0)</f>
        <v>Excel</v>
      </c>
      <c r="F74" s="9">
        <f>VLOOKUP($A$3,'лист 2'!$A$3:$D$267,3,0)</f>
        <v>45020</v>
      </c>
      <c r="G74" s="9" t="str">
        <f>VLOOKUP($A$3,'лист 2'!$A$3:$D$267,4,0)</f>
        <v>вебинар</v>
      </c>
      <c r="H74" s="2">
        <f>VLOOKUP($E74,'лист 3'!$A$3:$B$7,2,0)</f>
        <v>400</v>
      </c>
      <c r="I74" s="10">
        <f>VLOOKUP($G74,'лист 3'!$E$3:$F$5,2,0)</f>
        <v>0.1</v>
      </c>
      <c r="J74" s="3">
        <f t="shared" si="1"/>
        <v>360</v>
      </c>
    </row>
    <row r="75" spans="1:10" x14ac:dyDescent="0.3">
      <c r="A75" s="2">
        <v>1427</v>
      </c>
      <c r="B75" t="s">
        <v>101</v>
      </c>
      <c r="C75" s="8">
        <v>22374</v>
      </c>
      <c r="D75" s="2" t="s">
        <v>22</v>
      </c>
      <c r="E75" s="2" t="str">
        <f>VLOOKUP(A75,'лист 2'!$A$3:$D$267,2,0)</f>
        <v>Excel</v>
      </c>
      <c r="F75" s="9">
        <f>VLOOKUP($A$3,'лист 2'!$A$3:$D$267,3,0)</f>
        <v>45020</v>
      </c>
      <c r="G75" s="9" t="str">
        <f>VLOOKUP($A$3,'лист 2'!$A$3:$D$267,4,0)</f>
        <v>вебинар</v>
      </c>
      <c r="H75" s="2">
        <f>VLOOKUP($E75,'лист 3'!$A$3:$B$7,2,0)</f>
        <v>400</v>
      </c>
      <c r="I75" s="10">
        <f>VLOOKUP($G75,'лист 3'!$E$3:$F$5,2,0)</f>
        <v>0.1</v>
      </c>
      <c r="J75" s="3">
        <f t="shared" si="1"/>
        <v>360</v>
      </c>
    </row>
    <row r="76" spans="1:10" x14ac:dyDescent="0.3">
      <c r="A76" s="2">
        <v>1369</v>
      </c>
      <c r="B76" t="s">
        <v>102</v>
      </c>
      <c r="C76" s="8">
        <v>26882</v>
      </c>
      <c r="D76" s="2" t="s">
        <v>19</v>
      </c>
      <c r="E76" s="2" t="str">
        <f>VLOOKUP(A76,'лист 2'!$A$3:$D$267,2,0)</f>
        <v>Excel</v>
      </c>
      <c r="F76" s="9">
        <f>VLOOKUP($A$3,'лист 2'!$A$3:$D$267,3,0)</f>
        <v>45020</v>
      </c>
      <c r="G76" s="9" t="str">
        <f>VLOOKUP($A$3,'лист 2'!$A$3:$D$267,4,0)</f>
        <v>вебинар</v>
      </c>
      <c r="H76" s="2">
        <f>VLOOKUP($E76,'лист 3'!$A$3:$B$7,2,0)</f>
        <v>400</v>
      </c>
      <c r="I76" s="10">
        <f>VLOOKUP($G76,'лист 3'!$E$3:$F$5,2,0)</f>
        <v>0.1</v>
      </c>
      <c r="J76" s="3">
        <f t="shared" si="1"/>
        <v>360</v>
      </c>
    </row>
    <row r="77" spans="1:10" x14ac:dyDescent="0.3">
      <c r="A77" s="2">
        <v>1445</v>
      </c>
      <c r="B77" t="s">
        <v>103</v>
      </c>
      <c r="C77" s="8">
        <v>31586</v>
      </c>
      <c r="D77" s="2" t="s">
        <v>19</v>
      </c>
      <c r="E77" s="2" t="str">
        <f>VLOOKUP(A77,'лист 2'!$A$3:$D$267,2,0)</f>
        <v>Excel</v>
      </c>
      <c r="F77" s="9">
        <f>VLOOKUP($A$3,'лист 2'!$A$3:$D$267,3,0)</f>
        <v>45020</v>
      </c>
      <c r="G77" s="9" t="str">
        <f>VLOOKUP($A$3,'лист 2'!$A$3:$D$267,4,0)</f>
        <v>вебинар</v>
      </c>
      <c r="H77" s="2">
        <f>VLOOKUP($E77,'лист 3'!$A$3:$B$7,2,0)</f>
        <v>400</v>
      </c>
      <c r="I77" s="10">
        <f>VLOOKUP($G77,'лист 3'!$E$3:$F$5,2,0)</f>
        <v>0.1</v>
      </c>
      <c r="J77" s="3">
        <f t="shared" si="1"/>
        <v>360</v>
      </c>
    </row>
    <row r="78" spans="1:10" x14ac:dyDescent="0.3">
      <c r="A78" s="2">
        <v>1463</v>
      </c>
      <c r="B78" t="s">
        <v>104</v>
      </c>
      <c r="C78" s="8">
        <v>29472</v>
      </c>
      <c r="D78" s="2" t="s">
        <v>19</v>
      </c>
      <c r="E78" s="2" t="str">
        <f>VLOOKUP(A78,'лист 2'!$A$3:$D$267,2,0)</f>
        <v>Excel</v>
      </c>
      <c r="F78" s="9">
        <f>VLOOKUP($A$3,'лист 2'!$A$3:$D$267,3,0)</f>
        <v>45020</v>
      </c>
      <c r="G78" s="9" t="str">
        <f>VLOOKUP($A$3,'лист 2'!$A$3:$D$267,4,0)</f>
        <v>вебинар</v>
      </c>
      <c r="H78" s="2">
        <f>VLOOKUP($E78,'лист 3'!$A$3:$B$7,2,0)</f>
        <v>400</v>
      </c>
      <c r="I78" s="10">
        <f>VLOOKUP($G78,'лист 3'!$E$3:$F$5,2,0)</f>
        <v>0.1</v>
      </c>
      <c r="J78" s="3">
        <f t="shared" si="1"/>
        <v>360</v>
      </c>
    </row>
    <row r="79" spans="1:10" x14ac:dyDescent="0.3">
      <c r="A79" s="2">
        <v>1374</v>
      </c>
      <c r="B79" t="s">
        <v>105</v>
      </c>
      <c r="C79" s="8">
        <v>30807</v>
      </c>
      <c r="D79" s="2" t="s">
        <v>22</v>
      </c>
      <c r="E79" s="2" t="str">
        <f>VLOOKUP(A79,'лист 2'!$A$3:$D$267,2,0)</f>
        <v>Excel</v>
      </c>
      <c r="F79" s="9">
        <f>VLOOKUP($A$3,'лист 2'!$A$3:$D$267,3,0)</f>
        <v>45020</v>
      </c>
      <c r="G79" s="9" t="str">
        <f>VLOOKUP($A$3,'лист 2'!$A$3:$D$267,4,0)</f>
        <v>вебинар</v>
      </c>
      <c r="H79" s="2">
        <f>VLOOKUP($E79,'лист 3'!$A$3:$B$7,2,0)</f>
        <v>400</v>
      </c>
      <c r="I79" s="10">
        <f>VLOOKUP($G79,'лист 3'!$E$3:$F$5,2,0)</f>
        <v>0.1</v>
      </c>
      <c r="J79" s="3">
        <f t="shared" si="1"/>
        <v>360</v>
      </c>
    </row>
    <row r="80" spans="1:10" x14ac:dyDescent="0.3">
      <c r="A80" s="2">
        <v>1567</v>
      </c>
      <c r="B80" t="s">
        <v>106</v>
      </c>
      <c r="C80" s="8">
        <v>35932</v>
      </c>
      <c r="D80" s="2" t="s">
        <v>12</v>
      </c>
      <c r="E80" s="2" t="str">
        <f>VLOOKUP(A80,'лист 2'!$A$3:$D$267,2,0)</f>
        <v>Excel</v>
      </c>
      <c r="F80" s="9">
        <f>VLOOKUP($A$3,'лист 2'!$A$3:$D$267,3,0)</f>
        <v>45020</v>
      </c>
      <c r="G80" s="9" t="str">
        <f>VLOOKUP($A$3,'лист 2'!$A$3:$D$267,4,0)</f>
        <v>вебинар</v>
      </c>
      <c r="H80" s="2">
        <f>VLOOKUP($E80,'лист 3'!$A$3:$B$7,2,0)</f>
        <v>400</v>
      </c>
      <c r="I80" s="10">
        <f>VLOOKUP($G80,'лист 3'!$E$3:$F$5,2,0)</f>
        <v>0.1</v>
      </c>
      <c r="J80" s="3">
        <f t="shared" si="1"/>
        <v>360</v>
      </c>
    </row>
    <row r="81" spans="1:10" x14ac:dyDescent="0.3">
      <c r="A81" s="2">
        <v>1465</v>
      </c>
      <c r="B81" t="s">
        <v>107</v>
      </c>
      <c r="C81" s="8">
        <v>36538</v>
      </c>
      <c r="D81" s="2" t="s">
        <v>19</v>
      </c>
      <c r="E81" s="2" t="str">
        <f>VLOOKUP(A81,'лист 2'!$A$3:$D$267,2,0)</f>
        <v>Excel</v>
      </c>
      <c r="F81" s="9">
        <f>VLOOKUP($A$3,'лист 2'!$A$3:$D$267,3,0)</f>
        <v>45020</v>
      </c>
      <c r="G81" s="9" t="str">
        <f>VLOOKUP($A$3,'лист 2'!$A$3:$D$267,4,0)</f>
        <v>вебинар</v>
      </c>
      <c r="H81" s="2">
        <f>VLOOKUP($E81,'лист 3'!$A$3:$B$7,2,0)</f>
        <v>400</v>
      </c>
      <c r="I81" s="10">
        <f>VLOOKUP($G81,'лист 3'!$E$3:$F$5,2,0)</f>
        <v>0.1</v>
      </c>
      <c r="J81" s="3">
        <f t="shared" si="1"/>
        <v>360</v>
      </c>
    </row>
    <row r="82" spans="1:10" x14ac:dyDescent="0.3">
      <c r="A82" s="2">
        <v>1377</v>
      </c>
      <c r="B82" t="s">
        <v>96</v>
      </c>
      <c r="C82" s="8">
        <v>28042</v>
      </c>
      <c r="D82" s="2" t="s">
        <v>19</v>
      </c>
      <c r="E82" s="2" t="str">
        <f>VLOOKUP(A82,'лист 2'!$A$3:$D$267,2,0)</f>
        <v>Excel</v>
      </c>
      <c r="F82" s="9">
        <f>VLOOKUP($A$3,'лист 2'!$A$3:$D$267,3,0)</f>
        <v>45020</v>
      </c>
      <c r="G82" s="9" t="str">
        <f>VLOOKUP($A$3,'лист 2'!$A$3:$D$267,4,0)</f>
        <v>вебинар</v>
      </c>
      <c r="H82" s="2">
        <f>VLOOKUP($E82,'лист 3'!$A$3:$B$7,2,0)</f>
        <v>400</v>
      </c>
      <c r="I82" s="10">
        <f>VLOOKUP($G82,'лист 3'!$E$3:$F$5,2,0)</f>
        <v>0.1</v>
      </c>
      <c r="J82" s="3">
        <f t="shared" si="1"/>
        <v>360</v>
      </c>
    </row>
    <row r="83" spans="1:10" x14ac:dyDescent="0.3">
      <c r="A83" s="2">
        <v>1569</v>
      </c>
      <c r="B83" t="s">
        <v>108</v>
      </c>
      <c r="C83" s="8">
        <v>26022</v>
      </c>
      <c r="D83" s="2" t="s">
        <v>22</v>
      </c>
      <c r="E83" s="2" t="str">
        <f>VLOOKUP(A83,'лист 2'!$A$3:$D$267,2,0)</f>
        <v>Excel</v>
      </c>
      <c r="F83" s="9">
        <f>VLOOKUP($A$3,'лист 2'!$A$3:$D$267,3,0)</f>
        <v>45020</v>
      </c>
      <c r="G83" s="9" t="str">
        <f>VLOOKUP($A$3,'лист 2'!$A$3:$D$267,4,0)</f>
        <v>вебинар</v>
      </c>
      <c r="H83" s="2">
        <f>VLOOKUP($E83,'лист 3'!$A$3:$B$7,2,0)</f>
        <v>400</v>
      </c>
      <c r="I83" s="10">
        <f>VLOOKUP($G83,'лист 3'!$E$3:$F$5,2,0)</f>
        <v>0.1</v>
      </c>
      <c r="J83" s="3">
        <f t="shared" si="1"/>
        <v>360</v>
      </c>
    </row>
    <row r="84" spans="1:10" x14ac:dyDescent="0.3">
      <c r="A84" s="2">
        <v>1379</v>
      </c>
      <c r="B84" t="s">
        <v>109</v>
      </c>
      <c r="C84" s="8">
        <v>38743</v>
      </c>
      <c r="D84" s="2" t="s">
        <v>19</v>
      </c>
      <c r="E84" s="2" t="str">
        <f>VLOOKUP(A84,'лист 2'!$A$3:$D$267,2,0)</f>
        <v>Excel</v>
      </c>
      <c r="F84" s="9">
        <f>VLOOKUP($A$3,'лист 2'!$A$3:$D$267,3,0)</f>
        <v>45020</v>
      </c>
      <c r="G84" s="9" t="str">
        <f>VLOOKUP($A$3,'лист 2'!$A$3:$D$267,4,0)</f>
        <v>вебинар</v>
      </c>
      <c r="H84" s="2">
        <f>VLOOKUP($E84,'лист 3'!$A$3:$B$7,2,0)</f>
        <v>400</v>
      </c>
      <c r="I84" s="10">
        <f>VLOOKUP($G84,'лист 3'!$E$3:$F$5,2,0)</f>
        <v>0.1</v>
      </c>
      <c r="J84" s="3">
        <f t="shared" si="1"/>
        <v>360</v>
      </c>
    </row>
    <row r="85" spans="1:10" x14ac:dyDescent="0.3">
      <c r="A85" s="2">
        <v>1432</v>
      </c>
      <c r="B85" t="s">
        <v>110</v>
      </c>
      <c r="C85" s="8">
        <v>25739</v>
      </c>
      <c r="D85" s="2" t="s">
        <v>22</v>
      </c>
      <c r="E85" s="2" t="str">
        <f>VLOOKUP(A85,'лист 2'!$A$3:$D$267,2,0)</f>
        <v>Excel</v>
      </c>
      <c r="F85" s="9">
        <f>VLOOKUP($A$3,'лист 2'!$A$3:$D$267,3,0)</f>
        <v>45020</v>
      </c>
      <c r="G85" s="9" t="str">
        <f>VLOOKUP($A$3,'лист 2'!$A$3:$D$267,4,0)</f>
        <v>вебинар</v>
      </c>
      <c r="H85" s="2">
        <f>VLOOKUP($E85,'лист 3'!$A$3:$B$7,2,0)</f>
        <v>400</v>
      </c>
      <c r="I85" s="10">
        <f>VLOOKUP($G85,'лист 3'!$E$3:$F$5,2,0)</f>
        <v>0.1</v>
      </c>
      <c r="J85" s="3">
        <f t="shared" si="1"/>
        <v>360</v>
      </c>
    </row>
    <row r="86" spans="1:10" x14ac:dyDescent="0.3">
      <c r="A86" s="2">
        <v>1450</v>
      </c>
      <c r="B86" t="s">
        <v>111</v>
      </c>
      <c r="C86" s="8">
        <v>31685</v>
      </c>
      <c r="D86" s="2" t="s">
        <v>19</v>
      </c>
      <c r="E86" s="2" t="str">
        <f>VLOOKUP(A86,'лист 2'!$A$3:$D$267,2,0)</f>
        <v>Excel</v>
      </c>
      <c r="F86" s="9">
        <f>VLOOKUP($A$3,'лист 2'!$A$3:$D$267,3,0)</f>
        <v>45020</v>
      </c>
      <c r="G86" s="9" t="str">
        <f>VLOOKUP($A$3,'лист 2'!$A$3:$D$267,4,0)</f>
        <v>вебинар</v>
      </c>
      <c r="H86" s="2">
        <f>VLOOKUP($E86,'лист 3'!$A$3:$B$7,2,0)</f>
        <v>400</v>
      </c>
      <c r="I86" s="10">
        <f>VLOOKUP($G86,'лист 3'!$E$3:$F$5,2,0)</f>
        <v>0.1</v>
      </c>
      <c r="J86" s="3">
        <f t="shared" si="1"/>
        <v>360</v>
      </c>
    </row>
    <row r="87" spans="1:10" x14ac:dyDescent="0.3">
      <c r="A87" s="2">
        <v>1382</v>
      </c>
      <c r="B87" t="s">
        <v>112</v>
      </c>
      <c r="C87" s="8">
        <v>21341</v>
      </c>
      <c r="D87" s="2" t="s">
        <v>22</v>
      </c>
      <c r="E87" s="2" t="str">
        <f>VLOOKUP(A87,'лист 2'!$A$3:$D$267,2,0)</f>
        <v>Excel</v>
      </c>
      <c r="F87" s="9">
        <f>VLOOKUP($A$3,'лист 2'!$A$3:$D$267,3,0)</f>
        <v>45020</v>
      </c>
      <c r="G87" s="9" t="str">
        <f>VLOOKUP($A$3,'лист 2'!$A$3:$D$267,4,0)</f>
        <v>вебинар</v>
      </c>
      <c r="H87" s="2">
        <f>VLOOKUP($E87,'лист 3'!$A$3:$B$7,2,0)</f>
        <v>400</v>
      </c>
      <c r="I87" s="10">
        <f>VLOOKUP($G87,'лист 3'!$E$3:$F$5,2,0)</f>
        <v>0.1</v>
      </c>
      <c r="J87" s="3">
        <f t="shared" si="1"/>
        <v>360</v>
      </c>
    </row>
    <row r="88" spans="1:10" x14ac:dyDescent="0.3">
      <c r="A88" s="2">
        <v>1468</v>
      </c>
      <c r="B88" t="s">
        <v>113</v>
      </c>
      <c r="C88" s="8">
        <v>27324</v>
      </c>
      <c r="D88" s="2" t="s">
        <v>19</v>
      </c>
      <c r="E88" s="2" t="str">
        <f>VLOOKUP(A88,'лист 2'!$A$3:$D$267,2,0)</f>
        <v>Excel</v>
      </c>
      <c r="F88" s="9">
        <f>VLOOKUP($A$3,'лист 2'!$A$3:$D$267,3,0)</f>
        <v>45020</v>
      </c>
      <c r="G88" s="9" t="str">
        <f>VLOOKUP($A$3,'лист 2'!$A$3:$D$267,4,0)</f>
        <v>вебинар</v>
      </c>
      <c r="H88" s="2">
        <f>VLOOKUP($E88,'лист 3'!$A$3:$B$7,2,0)</f>
        <v>400</v>
      </c>
      <c r="I88" s="10">
        <f>VLOOKUP($G88,'лист 3'!$E$3:$F$5,2,0)</f>
        <v>0.1</v>
      </c>
      <c r="J88" s="3">
        <f t="shared" si="1"/>
        <v>360</v>
      </c>
    </row>
    <row r="89" spans="1:10" x14ac:dyDescent="0.3">
      <c r="A89" s="2">
        <v>1572</v>
      </c>
      <c r="B89" t="s">
        <v>114</v>
      </c>
      <c r="C89" s="8">
        <v>32373</v>
      </c>
      <c r="D89" s="2" t="s">
        <v>12</v>
      </c>
      <c r="E89" s="2" t="str">
        <f>VLOOKUP(A89,'лист 2'!$A$3:$D$267,2,0)</f>
        <v>Excel</v>
      </c>
      <c r="F89" s="9">
        <f>VLOOKUP($A$3,'лист 2'!$A$3:$D$267,3,0)</f>
        <v>45020</v>
      </c>
      <c r="G89" s="9" t="str">
        <f>VLOOKUP($A$3,'лист 2'!$A$3:$D$267,4,0)</f>
        <v>вебинар</v>
      </c>
      <c r="H89" s="2">
        <f>VLOOKUP($E89,'лист 3'!$A$3:$B$7,2,0)</f>
        <v>400</v>
      </c>
      <c r="I89" s="10">
        <f>VLOOKUP($G89,'лист 3'!$E$3:$F$5,2,0)</f>
        <v>0.1</v>
      </c>
      <c r="J89" s="3">
        <f t="shared" si="1"/>
        <v>360</v>
      </c>
    </row>
    <row r="90" spans="1:10" x14ac:dyDescent="0.3">
      <c r="A90" s="2">
        <v>1387</v>
      </c>
      <c r="B90" t="s">
        <v>115</v>
      </c>
      <c r="C90" s="8">
        <v>29941</v>
      </c>
      <c r="D90" s="2" t="s">
        <v>12</v>
      </c>
      <c r="E90" s="2" t="str">
        <f>VLOOKUP(A90,'лист 2'!$A$3:$D$267,2,0)</f>
        <v>Excel</v>
      </c>
      <c r="F90" s="9">
        <f>VLOOKUP($A$3,'лист 2'!$A$3:$D$267,3,0)</f>
        <v>45020</v>
      </c>
      <c r="G90" s="9" t="str">
        <f>VLOOKUP($A$3,'лист 2'!$A$3:$D$267,4,0)</f>
        <v>вебинар</v>
      </c>
      <c r="H90" s="2">
        <f>VLOOKUP($E90,'лист 3'!$A$3:$B$7,2,0)</f>
        <v>400</v>
      </c>
      <c r="I90" s="10">
        <f>VLOOKUP($G90,'лист 3'!$E$3:$F$5,2,0)</f>
        <v>0.1</v>
      </c>
      <c r="J90" s="3">
        <f t="shared" si="1"/>
        <v>360</v>
      </c>
    </row>
    <row r="91" spans="1:10" x14ac:dyDescent="0.3">
      <c r="A91" s="2">
        <v>1470</v>
      </c>
      <c r="B91" t="s">
        <v>116</v>
      </c>
      <c r="C91" s="8">
        <v>36688</v>
      </c>
      <c r="D91" s="2" t="s">
        <v>19</v>
      </c>
      <c r="E91" s="2" t="str">
        <f>VLOOKUP(A91,'лист 2'!$A$3:$D$267,2,0)</f>
        <v>Excel</v>
      </c>
      <c r="F91" s="9">
        <f>VLOOKUP($A$3,'лист 2'!$A$3:$D$267,3,0)</f>
        <v>45020</v>
      </c>
      <c r="G91" s="9" t="str">
        <f>VLOOKUP($A$3,'лист 2'!$A$3:$D$267,4,0)</f>
        <v>вебинар</v>
      </c>
      <c r="H91" s="2">
        <f>VLOOKUP($E91,'лист 3'!$A$3:$B$7,2,0)</f>
        <v>400</v>
      </c>
      <c r="I91" s="10">
        <f>VLOOKUP($G91,'лист 3'!$E$3:$F$5,2,0)</f>
        <v>0.1</v>
      </c>
      <c r="J91" s="3">
        <f t="shared" si="1"/>
        <v>360</v>
      </c>
    </row>
    <row r="92" spans="1:10" x14ac:dyDescent="0.3">
      <c r="A92" s="2">
        <v>1574</v>
      </c>
      <c r="B92" t="s">
        <v>117</v>
      </c>
      <c r="C92" s="8">
        <v>23133</v>
      </c>
      <c r="D92" s="2" t="s">
        <v>19</v>
      </c>
      <c r="E92" s="2" t="str">
        <f>VLOOKUP(A92,'лист 2'!$A$3:$D$267,2,0)</f>
        <v>Excel</v>
      </c>
      <c r="F92" s="9">
        <f>VLOOKUP($A$3,'лист 2'!$A$3:$D$267,3,0)</f>
        <v>45020</v>
      </c>
      <c r="G92" s="9" t="str">
        <f>VLOOKUP($A$3,'лист 2'!$A$3:$D$267,4,0)</f>
        <v>вебинар</v>
      </c>
      <c r="H92" s="2">
        <f>VLOOKUP($E92,'лист 3'!$A$3:$B$7,2,0)</f>
        <v>400</v>
      </c>
      <c r="I92" s="10">
        <f>VLOOKUP($G92,'лист 3'!$E$3:$F$5,2,0)</f>
        <v>0.1</v>
      </c>
      <c r="J92" s="3">
        <f t="shared" si="1"/>
        <v>360</v>
      </c>
    </row>
    <row r="93" spans="1:10" x14ac:dyDescent="0.3">
      <c r="A93" s="2">
        <v>1392</v>
      </c>
      <c r="B93" t="s">
        <v>118</v>
      </c>
      <c r="C93" s="8">
        <v>37751</v>
      </c>
      <c r="D93" s="2" t="s">
        <v>19</v>
      </c>
      <c r="E93" s="2" t="str">
        <f>VLOOKUP(A93,'лист 2'!$A$3:$D$267,2,0)</f>
        <v>Excel</v>
      </c>
      <c r="F93" s="9">
        <f>VLOOKUP($A$3,'лист 2'!$A$3:$D$267,3,0)</f>
        <v>45020</v>
      </c>
      <c r="G93" s="9" t="str">
        <f>VLOOKUP($A$3,'лист 2'!$A$3:$D$267,4,0)</f>
        <v>вебинар</v>
      </c>
      <c r="H93" s="2">
        <f>VLOOKUP($E93,'лист 3'!$A$3:$B$7,2,0)</f>
        <v>400</v>
      </c>
      <c r="I93" s="10">
        <f>VLOOKUP($G93,'лист 3'!$E$3:$F$5,2,0)</f>
        <v>0.1</v>
      </c>
      <c r="J93" s="3">
        <f t="shared" si="1"/>
        <v>360</v>
      </c>
    </row>
    <row r="94" spans="1:10" x14ac:dyDescent="0.3">
      <c r="A94" s="2">
        <v>1440</v>
      </c>
      <c r="B94" t="s">
        <v>119</v>
      </c>
      <c r="C94" s="8">
        <v>25632</v>
      </c>
      <c r="D94" s="2" t="s">
        <v>19</v>
      </c>
      <c r="E94" s="2" t="str">
        <f>VLOOKUP(A94,'лист 2'!$A$3:$D$267,2,0)</f>
        <v>Excel</v>
      </c>
      <c r="F94" s="9">
        <f>VLOOKUP($A$3,'лист 2'!$A$3:$D$267,3,0)</f>
        <v>45020</v>
      </c>
      <c r="G94" s="9" t="str">
        <f>VLOOKUP($A$3,'лист 2'!$A$3:$D$267,4,0)</f>
        <v>вебинар</v>
      </c>
      <c r="H94" s="2">
        <f>VLOOKUP($E94,'лист 3'!$A$3:$B$7,2,0)</f>
        <v>400</v>
      </c>
      <c r="I94" s="10">
        <f>VLOOKUP($G94,'лист 3'!$E$3:$F$5,2,0)</f>
        <v>0.1</v>
      </c>
      <c r="J94" s="3">
        <f t="shared" si="1"/>
        <v>360</v>
      </c>
    </row>
    <row r="95" spans="1:10" x14ac:dyDescent="0.3">
      <c r="A95" s="2">
        <v>1397</v>
      </c>
      <c r="B95" t="s">
        <v>26</v>
      </c>
      <c r="C95" s="8">
        <v>38250</v>
      </c>
      <c r="D95" s="2" t="s">
        <v>12</v>
      </c>
      <c r="E95" s="2" t="str">
        <f>VLOOKUP(A95,'лист 2'!$A$3:$D$267,2,0)</f>
        <v>Power BI</v>
      </c>
      <c r="F95" s="9">
        <f>VLOOKUP($A$3,'лист 2'!$A$3:$D$267,3,0)</f>
        <v>45020</v>
      </c>
      <c r="G95" s="9" t="str">
        <f>VLOOKUP($A$3,'лист 2'!$A$3:$D$267,4,0)</f>
        <v>вебинар</v>
      </c>
      <c r="H95" s="2">
        <f>VLOOKUP($E95,'лист 3'!$A$3:$B$7,2,0)</f>
        <v>600</v>
      </c>
      <c r="I95" s="10">
        <f>VLOOKUP($G95,'лист 3'!$E$3:$F$5,2,0)</f>
        <v>0.1</v>
      </c>
      <c r="J95" s="3">
        <f t="shared" si="1"/>
        <v>540</v>
      </c>
    </row>
    <row r="96" spans="1:10" x14ac:dyDescent="0.3">
      <c r="A96" s="2">
        <v>1546</v>
      </c>
      <c r="B96" t="s">
        <v>120</v>
      </c>
      <c r="C96" s="8">
        <v>29133</v>
      </c>
      <c r="D96" s="2" t="s">
        <v>22</v>
      </c>
      <c r="E96" s="2" t="str">
        <f>VLOOKUP(A96,'лист 2'!$A$3:$D$267,2,0)</f>
        <v>Power BI</v>
      </c>
      <c r="F96" s="9">
        <f>VLOOKUP($A$3,'лист 2'!$A$3:$D$267,3,0)</f>
        <v>45020</v>
      </c>
      <c r="G96" s="9" t="str">
        <f>VLOOKUP($A$3,'лист 2'!$A$3:$D$267,4,0)</f>
        <v>вебинар</v>
      </c>
      <c r="H96" s="2">
        <f>VLOOKUP($E96,'лист 3'!$A$3:$B$7,2,0)</f>
        <v>600</v>
      </c>
      <c r="I96" s="10">
        <f>VLOOKUP($G96,'лист 3'!$E$3:$F$5,2,0)</f>
        <v>0.1</v>
      </c>
      <c r="J96" s="3">
        <f t="shared" si="1"/>
        <v>540</v>
      </c>
    </row>
    <row r="97" spans="1:10" x14ac:dyDescent="0.3">
      <c r="A97" s="2">
        <v>1475</v>
      </c>
      <c r="B97" t="s">
        <v>121</v>
      </c>
      <c r="C97" s="8">
        <v>34648</v>
      </c>
      <c r="D97" s="2" t="s">
        <v>22</v>
      </c>
      <c r="E97" s="2" t="str">
        <f>VLOOKUP(A97,'лист 2'!$A$3:$D$267,2,0)</f>
        <v>Power BI</v>
      </c>
      <c r="F97" s="9">
        <f>VLOOKUP($A$3,'лист 2'!$A$3:$D$267,3,0)</f>
        <v>45020</v>
      </c>
      <c r="G97" s="9" t="str">
        <f>VLOOKUP($A$3,'лист 2'!$A$3:$D$267,4,0)</f>
        <v>вебинар</v>
      </c>
      <c r="H97" s="2">
        <f>VLOOKUP($E97,'лист 3'!$A$3:$B$7,2,0)</f>
        <v>600</v>
      </c>
      <c r="I97" s="10">
        <f>VLOOKUP($G97,'лист 3'!$E$3:$F$5,2,0)</f>
        <v>0.1</v>
      </c>
      <c r="J97" s="3">
        <f t="shared" si="1"/>
        <v>540</v>
      </c>
    </row>
    <row r="98" spans="1:10" x14ac:dyDescent="0.3">
      <c r="A98" s="2">
        <v>1204</v>
      </c>
      <c r="B98" t="s">
        <v>122</v>
      </c>
      <c r="C98" s="8">
        <v>30721</v>
      </c>
      <c r="D98" s="2" t="s">
        <v>22</v>
      </c>
      <c r="E98" s="2" t="str">
        <f>VLOOKUP(A98,'лист 2'!$A$3:$D$267,2,0)</f>
        <v>Power BI</v>
      </c>
      <c r="F98" s="9">
        <f>VLOOKUP($A$3,'лист 2'!$A$3:$D$267,3,0)</f>
        <v>45020</v>
      </c>
      <c r="G98" s="9" t="str">
        <f>VLOOKUP($A$3,'лист 2'!$A$3:$D$267,4,0)</f>
        <v>вебинар</v>
      </c>
      <c r="H98" s="2">
        <f>VLOOKUP($E98,'лист 3'!$A$3:$B$7,2,0)</f>
        <v>600</v>
      </c>
      <c r="I98" s="10">
        <f>VLOOKUP($G98,'лист 3'!$E$3:$F$5,2,0)</f>
        <v>0.1</v>
      </c>
      <c r="J98" s="3">
        <f t="shared" si="1"/>
        <v>540</v>
      </c>
    </row>
    <row r="99" spans="1:10" x14ac:dyDescent="0.3">
      <c r="A99" s="2">
        <v>1209</v>
      </c>
      <c r="B99" t="s">
        <v>123</v>
      </c>
      <c r="C99" s="8">
        <v>35687</v>
      </c>
      <c r="D99" s="2" t="s">
        <v>19</v>
      </c>
      <c r="E99" s="2" t="str">
        <f>VLOOKUP(A99,'лист 2'!$A$3:$D$267,2,0)</f>
        <v>Power BI</v>
      </c>
      <c r="F99" s="9">
        <f>VLOOKUP($A$3,'лист 2'!$A$3:$D$267,3,0)</f>
        <v>45020</v>
      </c>
      <c r="G99" s="9" t="str">
        <f>VLOOKUP($A$3,'лист 2'!$A$3:$D$267,4,0)</f>
        <v>вебинар</v>
      </c>
      <c r="H99" s="2">
        <f>VLOOKUP($E99,'лист 3'!$A$3:$B$7,2,0)</f>
        <v>600</v>
      </c>
      <c r="I99" s="10">
        <f>VLOOKUP($G99,'лист 3'!$E$3:$F$5,2,0)</f>
        <v>0.1</v>
      </c>
      <c r="J99" s="3">
        <f t="shared" si="1"/>
        <v>540</v>
      </c>
    </row>
    <row r="100" spans="1:10" x14ac:dyDescent="0.3">
      <c r="A100" s="2">
        <v>1222</v>
      </c>
      <c r="B100" t="s">
        <v>124</v>
      </c>
      <c r="C100" s="8">
        <v>24111</v>
      </c>
      <c r="D100" s="2" t="s">
        <v>19</v>
      </c>
      <c r="E100" s="2" t="str">
        <f>VLOOKUP(A100,'лист 2'!$A$3:$D$267,2,0)</f>
        <v>Power BI</v>
      </c>
      <c r="F100" s="9">
        <f>VLOOKUP($A$3,'лист 2'!$A$3:$D$267,3,0)</f>
        <v>45020</v>
      </c>
      <c r="G100" s="9" t="str">
        <f>VLOOKUP($A$3,'лист 2'!$A$3:$D$267,4,0)</f>
        <v>вебинар</v>
      </c>
      <c r="H100" s="2">
        <f>VLOOKUP($E100,'лист 3'!$A$3:$B$7,2,0)</f>
        <v>600</v>
      </c>
      <c r="I100" s="10">
        <f>VLOOKUP($G100,'лист 3'!$E$3:$F$5,2,0)</f>
        <v>0.1</v>
      </c>
      <c r="J100" s="3">
        <f t="shared" si="1"/>
        <v>540</v>
      </c>
    </row>
    <row r="101" spans="1:10" x14ac:dyDescent="0.3">
      <c r="A101" s="2">
        <v>1394</v>
      </c>
      <c r="B101" t="s">
        <v>125</v>
      </c>
      <c r="C101" s="8">
        <v>38967</v>
      </c>
      <c r="D101" s="2" t="s">
        <v>22</v>
      </c>
      <c r="E101" s="2" t="str">
        <f>VLOOKUP(A101,'лист 2'!$A$3:$D$267,2,0)</f>
        <v>Power BI</v>
      </c>
      <c r="F101" s="9">
        <f>VLOOKUP($A$3,'лист 2'!$A$3:$D$267,3,0)</f>
        <v>45020</v>
      </c>
      <c r="G101" s="9" t="str">
        <f>VLOOKUP($A$3,'лист 2'!$A$3:$D$267,4,0)</f>
        <v>вебинар</v>
      </c>
      <c r="H101" s="2">
        <f>VLOOKUP($E101,'лист 3'!$A$3:$B$7,2,0)</f>
        <v>600</v>
      </c>
      <c r="I101" s="10">
        <f>VLOOKUP($G101,'лист 3'!$E$3:$F$5,2,0)</f>
        <v>0.1</v>
      </c>
      <c r="J101" s="3">
        <f t="shared" si="1"/>
        <v>540</v>
      </c>
    </row>
    <row r="102" spans="1:10" x14ac:dyDescent="0.3">
      <c r="A102" s="2">
        <v>1399</v>
      </c>
      <c r="B102" t="s">
        <v>126</v>
      </c>
      <c r="C102" s="8">
        <v>22072</v>
      </c>
      <c r="D102" s="2" t="s">
        <v>19</v>
      </c>
      <c r="E102" s="2" t="str">
        <f>VLOOKUP(A102,'лист 2'!$A$3:$D$267,2,0)</f>
        <v>Power BI</v>
      </c>
      <c r="F102" s="9">
        <f>VLOOKUP($A$3,'лист 2'!$A$3:$D$267,3,0)</f>
        <v>45020</v>
      </c>
      <c r="G102" s="9" t="str">
        <f>VLOOKUP($A$3,'лист 2'!$A$3:$D$267,4,0)</f>
        <v>вебинар</v>
      </c>
      <c r="H102" s="2">
        <f>VLOOKUP($E102,'лист 3'!$A$3:$B$7,2,0)</f>
        <v>600</v>
      </c>
      <c r="I102" s="10">
        <f>VLOOKUP($G102,'лист 3'!$E$3:$F$5,2,0)</f>
        <v>0.1</v>
      </c>
      <c r="J102" s="3">
        <f t="shared" si="1"/>
        <v>540</v>
      </c>
    </row>
    <row r="103" spans="1:10" x14ac:dyDescent="0.3">
      <c r="A103" s="2">
        <v>1362</v>
      </c>
      <c r="B103" t="s">
        <v>127</v>
      </c>
      <c r="C103" s="8">
        <v>24630</v>
      </c>
      <c r="D103" s="2" t="s">
        <v>19</v>
      </c>
      <c r="E103" s="2" t="str">
        <f>VLOOKUP(A103,'лист 2'!$A$3:$D$267,2,0)</f>
        <v>Power BI</v>
      </c>
      <c r="F103" s="9">
        <f>VLOOKUP($A$3,'лист 2'!$A$3:$D$267,3,0)</f>
        <v>45020</v>
      </c>
      <c r="G103" s="9" t="str">
        <f>VLOOKUP($A$3,'лист 2'!$A$3:$D$267,4,0)</f>
        <v>вебинар</v>
      </c>
      <c r="H103" s="2">
        <f>VLOOKUP($E103,'лист 3'!$A$3:$B$7,2,0)</f>
        <v>600</v>
      </c>
      <c r="I103" s="10">
        <f>VLOOKUP($G103,'лист 3'!$E$3:$F$5,2,0)</f>
        <v>0.1</v>
      </c>
      <c r="J103" s="3">
        <f t="shared" si="1"/>
        <v>540</v>
      </c>
    </row>
    <row r="104" spans="1:10" x14ac:dyDescent="0.3">
      <c r="A104" s="2">
        <v>1442</v>
      </c>
      <c r="B104" t="s">
        <v>128</v>
      </c>
      <c r="C104" s="8">
        <v>23265</v>
      </c>
      <c r="D104" s="2" t="s">
        <v>22</v>
      </c>
      <c r="E104" s="2" t="str">
        <f>VLOOKUP(A104,'лист 2'!$A$3:$D$267,2,0)</f>
        <v>Power BI</v>
      </c>
      <c r="F104" s="9">
        <f>VLOOKUP($A$3,'лист 2'!$A$3:$D$267,3,0)</f>
        <v>45020</v>
      </c>
      <c r="G104" s="9" t="str">
        <f>VLOOKUP($A$3,'лист 2'!$A$3:$D$267,4,0)</f>
        <v>вебинар</v>
      </c>
      <c r="H104" s="2">
        <f>VLOOKUP($E104,'лист 3'!$A$3:$B$7,2,0)</f>
        <v>600</v>
      </c>
      <c r="I104" s="10">
        <f>VLOOKUP($G104,'лист 3'!$E$3:$F$5,2,0)</f>
        <v>0.1</v>
      </c>
      <c r="J104" s="3">
        <f t="shared" si="1"/>
        <v>540</v>
      </c>
    </row>
    <row r="105" spans="1:10" x14ac:dyDescent="0.3">
      <c r="A105" s="2">
        <v>1579</v>
      </c>
      <c r="B105" t="s">
        <v>129</v>
      </c>
      <c r="C105" s="8">
        <v>28379</v>
      </c>
      <c r="D105" s="2" t="s">
        <v>19</v>
      </c>
      <c r="E105" s="2" t="str">
        <f>VLOOKUP(A105,'лист 2'!$A$3:$D$267,2,0)</f>
        <v>Power BI</v>
      </c>
      <c r="F105" s="9">
        <f>VLOOKUP($A$3,'лист 2'!$A$3:$D$267,3,0)</f>
        <v>45020</v>
      </c>
      <c r="G105" s="9" t="str">
        <f>VLOOKUP($A$3,'лист 2'!$A$3:$D$267,4,0)</f>
        <v>вебинар</v>
      </c>
      <c r="H105" s="2">
        <f>VLOOKUP($E105,'лист 3'!$A$3:$B$7,2,0)</f>
        <v>600</v>
      </c>
      <c r="I105" s="10">
        <f>VLOOKUP($G105,'лист 3'!$E$3:$F$5,2,0)</f>
        <v>0.1</v>
      </c>
      <c r="J105" s="3">
        <f t="shared" si="1"/>
        <v>540</v>
      </c>
    </row>
    <row r="106" spans="1:10" x14ac:dyDescent="0.3">
      <c r="A106" s="2">
        <v>1006</v>
      </c>
      <c r="B106" t="s">
        <v>130</v>
      </c>
      <c r="C106" s="8">
        <v>24602</v>
      </c>
      <c r="D106" s="2" t="s">
        <v>22</v>
      </c>
      <c r="E106" s="2" t="str">
        <f>VLOOKUP(A106,'лист 2'!$A$3:$D$267,2,0)</f>
        <v>Power BI</v>
      </c>
      <c r="F106" s="9">
        <f>VLOOKUP($A$3,'лист 2'!$A$3:$D$267,3,0)</f>
        <v>45020</v>
      </c>
      <c r="G106" s="9" t="str">
        <f>VLOOKUP($A$3,'лист 2'!$A$3:$D$267,4,0)</f>
        <v>вебинар</v>
      </c>
      <c r="H106" s="2">
        <f>VLOOKUP($E106,'лист 3'!$A$3:$B$7,2,0)</f>
        <v>600</v>
      </c>
      <c r="I106" s="10">
        <f>VLOOKUP($G106,'лист 3'!$E$3:$F$5,2,0)</f>
        <v>0.1</v>
      </c>
      <c r="J106" s="3">
        <f t="shared" si="1"/>
        <v>540</v>
      </c>
    </row>
    <row r="107" spans="1:10" x14ac:dyDescent="0.3">
      <c r="A107" s="2">
        <v>1033</v>
      </c>
      <c r="B107" t="s">
        <v>131</v>
      </c>
      <c r="C107" s="8">
        <v>38356</v>
      </c>
      <c r="D107" s="2" t="s">
        <v>22</v>
      </c>
      <c r="E107" s="2" t="str">
        <f>VLOOKUP(A107,'лист 2'!$A$3:$D$267,2,0)</f>
        <v>Power BI</v>
      </c>
      <c r="F107" s="9">
        <f>VLOOKUP($A$3,'лист 2'!$A$3:$D$267,3,0)</f>
        <v>45020</v>
      </c>
      <c r="G107" s="9" t="str">
        <f>VLOOKUP($A$3,'лист 2'!$A$3:$D$267,4,0)</f>
        <v>вебинар</v>
      </c>
      <c r="H107" s="2">
        <f>VLOOKUP($E107,'лист 3'!$A$3:$B$7,2,0)</f>
        <v>600</v>
      </c>
      <c r="I107" s="10">
        <f>VLOOKUP($G107,'лист 3'!$E$3:$F$5,2,0)</f>
        <v>0.1</v>
      </c>
      <c r="J107" s="3">
        <f t="shared" si="1"/>
        <v>540</v>
      </c>
    </row>
    <row r="108" spans="1:10" x14ac:dyDescent="0.3">
      <c r="A108" s="2">
        <v>1047</v>
      </c>
      <c r="B108" t="s">
        <v>132</v>
      </c>
      <c r="C108" s="8">
        <v>25244</v>
      </c>
      <c r="D108" s="2" t="s">
        <v>22</v>
      </c>
      <c r="E108" s="2" t="str">
        <f>VLOOKUP(A108,'лист 2'!$A$3:$D$267,2,0)</f>
        <v>Power BI</v>
      </c>
      <c r="F108" s="9">
        <f>VLOOKUP($A$3,'лист 2'!$A$3:$D$267,3,0)</f>
        <v>45020</v>
      </c>
      <c r="G108" s="9" t="str">
        <f>VLOOKUP($A$3,'лист 2'!$A$3:$D$267,4,0)</f>
        <v>вебинар</v>
      </c>
      <c r="H108" s="2">
        <f>VLOOKUP($E108,'лист 3'!$A$3:$B$7,2,0)</f>
        <v>600</v>
      </c>
      <c r="I108" s="10">
        <f>VLOOKUP($G108,'лист 3'!$E$3:$F$5,2,0)</f>
        <v>0.1</v>
      </c>
      <c r="J108" s="3">
        <f t="shared" si="1"/>
        <v>540</v>
      </c>
    </row>
    <row r="109" spans="1:10" x14ac:dyDescent="0.3">
      <c r="A109" s="2">
        <v>1057</v>
      </c>
      <c r="B109" t="s">
        <v>133</v>
      </c>
      <c r="C109" s="8">
        <v>26909</v>
      </c>
      <c r="D109" s="2" t="s">
        <v>22</v>
      </c>
      <c r="E109" s="2" t="str">
        <f>VLOOKUP(A109,'лист 2'!$A$3:$D$267,2,0)</f>
        <v>Power BI</v>
      </c>
      <c r="F109" s="9">
        <f>VLOOKUP($A$3,'лист 2'!$A$3:$D$267,3,0)</f>
        <v>45020</v>
      </c>
      <c r="G109" s="9" t="str">
        <f>VLOOKUP($A$3,'лист 2'!$A$3:$D$267,4,0)</f>
        <v>вебинар</v>
      </c>
      <c r="H109" s="2">
        <f>VLOOKUP($E109,'лист 3'!$A$3:$B$7,2,0)</f>
        <v>600</v>
      </c>
      <c r="I109" s="10">
        <f>VLOOKUP($G109,'лист 3'!$E$3:$F$5,2,0)</f>
        <v>0.1</v>
      </c>
      <c r="J109" s="3">
        <f t="shared" si="1"/>
        <v>540</v>
      </c>
    </row>
    <row r="110" spans="1:10" x14ac:dyDescent="0.3">
      <c r="A110" s="2">
        <v>1064</v>
      </c>
      <c r="B110" t="s">
        <v>134</v>
      </c>
      <c r="C110" s="8">
        <v>23813</v>
      </c>
      <c r="D110" s="2" t="s">
        <v>22</v>
      </c>
      <c r="E110" s="2" t="str">
        <f>VLOOKUP(A110,'лист 2'!$A$3:$D$267,2,0)</f>
        <v>Power BI</v>
      </c>
      <c r="F110" s="9">
        <f>VLOOKUP($A$3,'лист 2'!$A$3:$D$267,3,0)</f>
        <v>45020</v>
      </c>
      <c r="G110" s="9" t="str">
        <f>VLOOKUP($A$3,'лист 2'!$A$3:$D$267,4,0)</f>
        <v>вебинар</v>
      </c>
      <c r="H110" s="2">
        <f>VLOOKUP($E110,'лист 3'!$A$3:$B$7,2,0)</f>
        <v>600</v>
      </c>
      <c r="I110" s="10">
        <f>VLOOKUP($G110,'лист 3'!$E$3:$F$5,2,0)</f>
        <v>0.1</v>
      </c>
      <c r="J110" s="3">
        <f t="shared" si="1"/>
        <v>540</v>
      </c>
    </row>
    <row r="111" spans="1:10" x14ac:dyDescent="0.3">
      <c r="A111" s="2">
        <v>1069</v>
      </c>
      <c r="B111" t="s">
        <v>135</v>
      </c>
      <c r="C111" s="8">
        <v>37911</v>
      </c>
      <c r="D111" s="2" t="s">
        <v>22</v>
      </c>
      <c r="E111" s="2" t="str">
        <f>VLOOKUP(A111,'лист 2'!$A$3:$D$267,2,0)</f>
        <v>Power BI</v>
      </c>
      <c r="F111" s="9">
        <f>VLOOKUP($A$3,'лист 2'!$A$3:$D$267,3,0)</f>
        <v>45020</v>
      </c>
      <c r="G111" s="9" t="str">
        <f>VLOOKUP($A$3,'лист 2'!$A$3:$D$267,4,0)</f>
        <v>вебинар</v>
      </c>
      <c r="H111" s="2">
        <f>VLOOKUP($E111,'лист 3'!$A$3:$B$7,2,0)</f>
        <v>600</v>
      </c>
      <c r="I111" s="10">
        <f>VLOOKUP($G111,'лист 3'!$E$3:$F$5,2,0)</f>
        <v>0.1</v>
      </c>
      <c r="J111" s="3">
        <f t="shared" si="1"/>
        <v>540</v>
      </c>
    </row>
    <row r="112" spans="1:10" x14ac:dyDescent="0.3">
      <c r="A112" s="2">
        <v>1308</v>
      </c>
      <c r="B112" t="s">
        <v>127</v>
      </c>
      <c r="C112" s="8">
        <v>33668</v>
      </c>
      <c r="D112" s="2" t="s">
        <v>22</v>
      </c>
      <c r="E112" s="2" t="str">
        <f>VLOOKUP(A112,'лист 2'!$A$3:$D$267,2,0)</f>
        <v>Power BI</v>
      </c>
      <c r="F112" s="9">
        <f>VLOOKUP($A$3,'лист 2'!$A$3:$D$267,3,0)</f>
        <v>45020</v>
      </c>
      <c r="G112" s="9" t="str">
        <f>VLOOKUP($A$3,'лист 2'!$A$3:$D$267,4,0)</f>
        <v>вебинар</v>
      </c>
      <c r="H112" s="2">
        <f>VLOOKUP($E112,'лист 3'!$A$3:$B$7,2,0)</f>
        <v>600</v>
      </c>
      <c r="I112" s="10">
        <f>VLOOKUP($G112,'лист 3'!$E$3:$F$5,2,0)</f>
        <v>0.1</v>
      </c>
      <c r="J112" s="3">
        <f t="shared" si="1"/>
        <v>540</v>
      </c>
    </row>
    <row r="113" spans="1:10" x14ac:dyDescent="0.3">
      <c r="A113" s="2">
        <v>1545</v>
      </c>
      <c r="B113" t="s">
        <v>47</v>
      </c>
      <c r="C113" s="8">
        <v>31390</v>
      </c>
      <c r="D113" s="2" t="s">
        <v>22</v>
      </c>
      <c r="E113" s="2" t="str">
        <f>VLOOKUP(A113,'лист 2'!$A$3:$D$267,2,0)</f>
        <v>Power BI</v>
      </c>
      <c r="F113" s="9">
        <f>VLOOKUP($A$3,'лист 2'!$A$3:$D$267,3,0)</f>
        <v>45020</v>
      </c>
      <c r="G113" s="9" t="str">
        <f>VLOOKUP($A$3,'лист 2'!$A$3:$D$267,4,0)</f>
        <v>вебинар</v>
      </c>
      <c r="H113" s="2">
        <f>VLOOKUP($E113,'лист 3'!$A$3:$B$7,2,0)</f>
        <v>600</v>
      </c>
      <c r="I113" s="10">
        <f>VLOOKUP($G113,'лист 3'!$E$3:$F$5,2,0)</f>
        <v>0.1</v>
      </c>
      <c r="J113" s="3">
        <f t="shared" si="1"/>
        <v>540</v>
      </c>
    </row>
    <row r="114" spans="1:10" x14ac:dyDescent="0.3">
      <c r="A114" s="2">
        <v>1550</v>
      </c>
      <c r="B114" t="s">
        <v>136</v>
      </c>
      <c r="C114" s="8">
        <v>25324</v>
      </c>
      <c r="D114" s="2" t="s">
        <v>19</v>
      </c>
      <c r="E114" s="2" t="str">
        <f>VLOOKUP(A114,'лист 2'!$A$3:$D$267,2,0)</f>
        <v>Power BI</v>
      </c>
      <c r="F114" s="9">
        <f>VLOOKUP($A$3,'лист 2'!$A$3:$D$267,3,0)</f>
        <v>45020</v>
      </c>
      <c r="G114" s="9" t="str">
        <f>VLOOKUP($A$3,'лист 2'!$A$3:$D$267,4,0)</f>
        <v>вебинар</v>
      </c>
      <c r="H114" s="2">
        <f>VLOOKUP($E114,'лист 3'!$A$3:$B$7,2,0)</f>
        <v>600</v>
      </c>
      <c r="I114" s="10">
        <f>VLOOKUP($G114,'лист 3'!$E$3:$F$5,2,0)</f>
        <v>0.1</v>
      </c>
      <c r="J114" s="3">
        <f t="shared" si="1"/>
        <v>540</v>
      </c>
    </row>
    <row r="115" spans="1:10" x14ac:dyDescent="0.3">
      <c r="A115" s="2">
        <v>1188</v>
      </c>
      <c r="B115" t="s">
        <v>137</v>
      </c>
      <c r="C115" s="8">
        <v>25247</v>
      </c>
      <c r="D115" s="2" t="s">
        <v>22</v>
      </c>
      <c r="E115" s="2" t="str">
        <f>VLOOKUP(A115,'лист 2'!$A$3:$D$267,2,0)</f>
        <v>Power BI</v>
      </c>
      <c r="F115" s="9">
        <f>VLOOKUP($A$3,'лист 2'!$A$3:$D$267,3,0)</f>
        <v>45020</v>
      </c>
      <c r="G115" s="9" t="str">
        <f>VLOOKUP($A$3,'лист 2'!$A$3:$D$267,4,0)</f>
        <v>вебинар</v>
      </c>
      <c r="H115" s="2">
        <f>VLOOKUP($E115,'лист 3'!$A$3:$B$7,2,0)</f>
        <v>600</v>
      </c>
      <c r="I115" s="10">
        <f>VLOOKUP($G115,'лист 3'!$E$3:$F$5,2,0)</f>
        <v>0.1</v>
      </c>
      <c r="J115" s="3">
        <f t="shared" si="1"/>
        <v>540</v>
      </c>
    </row>
    <row r="116" spans="1:10" x14ac:dyDescent="0.3">
      <c r="A116" s="2">
        <v>1193</v>
      </c>
      <c r="B116" t="s">
        <v>138</v>
      </c>
      <c r="C116" s="8">
        <v>22597</v>
      </c>
      <c r="D116" s="2" t="s">
        <v>19</v>
      </c>
      <c r="E116" s="2" t="str">
        <f>VLOOKUP(A116,'лист 2'!$A$3:$D$267,2,0)</f>
        <v>Power BI</v>
      </c>
      <c r="F116" s="9">
        <f>VLOOKUP($A$3,'лист 2'!$A$3:$D$267,3,0)</f>
        <v>45020</v>
      </c>
      <c r="G116" s="9" t="str">
        <f>VLOOKUP($A$3,'лист 2'!$A$3:$D$267,4,0)</f>
        <v>вебинар</v>
      </c>
      <c r="H116" s="2">
        <f>VLOOKUP($E116,'лист 3'!$A$3:$B$7,2,0)</f>
        <v>600</v>
      </c>
      <c r="I116" s="10">
        <f>VLOOKUP($G116,'лист 3'!$E$3:$F$5,2,0)</f>
        <v>0.1</v>
      </c>
      <c r="J116" s="3">
        <f t="shared" si="1"/>
        <v>540</v>
      </c>
    </row>
    <row r="117" spans="1:10" x14ac:dyDescent="0.3">
      <c r="A117" s="2">
        <v>1203</v>
      </c>
      <c r="B117" t="s">
        <v>139</v>
      </c>
      <c r="C117" s="8">
        <v>33325</v>
      </c>
      <c r="D117" s="2" t="s">
        <v>19</v>
      </c>
      <c r="E117" s="2" t="str">
        <f>VLOOKUP(A117,'лист 2'!$A$3:$D$267,2,0)</f>
        <v>Power BI</v>
      </c>
      <c r="F117" s="9">
        <f>VLOOKUP($A$3,'лист 2'!$A$3:$D$267,3,0)</f>
        <v>45020</v>
      </c>
      <c r="G117" s="9" t="str">
        <f>VLOOKUP($A$3,'лист 2'!$A$3:$D$267,4,0)</f>
        <v>вебинар</v>
      </c>
      <c r="H117" s="2">
        <f>VLOOKUP($E117,'лист 3'!$A$3:$B$7,2,0)</f>
        <v>600</v>
      </c>
      <c r="I117" s="10">
        <f>VLOOKUP($G117,'лист 3'!$E$3:$F$5,2,0)</f>
        <v>0.1</v>
      </c>
      <c r="J117" s="3">
        <f t="shared" si="1"/>
        <v>540</v>
      </c>
    </row>
    <row r="118" spans="1:10" x14ac:dyDescent="0.3">
      <c r="A118" s="2">
        <v>1213</v>
      </c>
      <c r="B118" t="s">
        <v>140</v>
      </c>
      <c r="C118" s="8">
        <v>38387</v>
      </c>
      <c r="D118" s="2" t="s">
        <v>19</v>
      </c>
      <c r="E118" s="2" t="str">
        <f>VLOOKUP(A118,'лист 2'!$A$3:$D$267,2,0)</f>
        <v>Power BI</v>
      </c>
      <c r="F118" s="9">
        <f>VLOOKUP($A$3,'лист 2'!$A$3:$D$267,3,0)</f>
        <v>45020</v>
      </c>
      <c r="G118" s="9" t="str">
        <f>VLOOKUP($A$3,'лист 2'!$A$3:$D$267,4,0)</f>
        <v>вебинар</v>
      </c>
      <c r="H118" s="2">
        <f>VLOOKUP($E118,'лист 3'!$A$3:$B$7,2,0)</f>
        <v>600</v>
      </c>
      <c r="I118" s="10">
        <f>VLOOKUP($G118,'лист 3'!$E$3:$F$5,2,0)</f>
        <v>0.1</v>
      </c>
      <c r="J118" s="3">
        <f t="shared" si="1"/>
        <v>540</v>
      </c>
    </row>
    <row r="119" spans="1:10" x14ac:dyDescent="0.3">
      <c r="A119" s="2">
        <v>1555</v>
      </c>
      <c r="B119" t="s">
        <v>107</v>
      </c>
      <c r="C119" s="8">
        <v>31298</v>
      </c>
      <c r="D119" s="2" t="s">
        <v>22</v>
      </c>
      <c r="E119" s="2" t="str">
        <f>VLOOKUP(A119,'лист 2'!$A$3:$D$267,2,0)</f>
        <v>Power BI</v>
      </c>
      <c r="F119" s="9">
        <f>VLOOKUP($A$3,'лист 2'!$A$3:$D$267,3,0)</f>
        <v>45020</v>
      </c>
      <c r="G119" s="9" t="str">
        <f>VLOOKUP($A$3,'лист 2'!$A$3:$D$267,4,0)</f>
        <v>вебинар</v>
      </c>
      <c r="H119" s="2">
        <f>VLOOKUP($E119,'лист 3'!$A$3:$B$7,2,0)</f>
        <v>600</v>
      </c>
      <c r="I119" s="10">
        <f>VLOOKUP($G119,'лист 3'!$E$3:$F$5,2,0)</f>
        <v>0.1</v>
      </c>
      <c r="J119" s="3">
        <f t="shared" si="1"/>
        <v>540</v>
      </c>
    </row>
    <row r="120" spans="1:10" x14ac:dyDescent="0.3">
      <c r="A120" s="2">
        <v>1218</v>
      </c>
      <c r="B120" t="s">
        <v>141</v>
      </c>
      <c r="C120" s="8">
        <v>26947</v>
      </c>
      <c r="D120" s="2" t="s">
        <v>19</v>
      </c>
      <c r="E120" s="2" t="str">
        <f>VLOOKUP(A120,'лист 2'!$A$3:$D$267,2,0)</f>
        <v>Power BI</v>
      </c>
      <c r="F120" s="9">
        <f>VLOOKUP($A$3,'лист 2'!$A$3:$D$267,3,0)</f>
        <v>45020</v>
      </c>
      <c r="G120" s="9" t="str">
        <f>VLOOKUP($A$3,'лист 2'!$A$3:$D$267,4,0)</f>
        <v>вебинар</v>
      </c>
      <c r="H120" s="2">
        <f>VLOOKUP($E120,'лист 3'!$A$3:$B$7,2,0)</f>
        <v>600</v>
      </c>
      <c r="I120" s="10">
        <f>VLOOKUP($G120,'лист 3'!$E$3:$F$5,2,0)</f>
        <v>0.1</v>
      </c>
      <c r="J120" s="3">
        <f t="shared" si="1"/>
        <v>540</v>
      </c>
    </row>
    <row r="121" spans="1:10" x14ac:dyDescent="0.3">
      <c r="A121" s="2">
        <v>1293</v>
      </c>
      <c r="B121" t="s">
        <v>142</v>
      </c>
      <c r="C121" s="8">
        <v>33320</v>
      </c>
      <c r="D121" s="2" t="s">
        <v>19</v>
      </c>
      <c r="E121" s="2" t="str">
        <f>VLOOKUP(A121,'лист 2'!$A$3:$D$267,2,0)</f>
        <v>Power BI</v>
      </c>
      <c r="F121" s="9">
        <f>VLOOKUP($A$3,'лист 2'!$A$3:$D$267,3,0)</f>
        <v>45020</v>
      </c>
      <c r="G121" s="9" t="str">
        <f>VLOOKUP($A$3,'лист 2'!$A$3:$D$267,4,0)</f>
        <v>вебинар</v>
      </c>
      <c r="H121" s="2">
        <f>VLOOKUP($E121,'лист 3'!$A$3:$B$7,2,0)</f>
        <v>600</v>
      </c>
      <c r="I121" s="10">
        <f>VLOOKUP($G121,'лист 3'!$E$3:$F$5,2,0)</f>
        <v>0.1</v>
      </c>
      <c r="J121" s="3">
        <f t="shared" si="1"/>
        <v>540</v>
      </c>
    </row>
    <row r="122" spans="1:10" x14ac:dyDescent="0.3">
      <c r="A122" s="2">
        <v>1560</v>
      </c>
      <c r="B122" t="s">
        <v>143</v>
      </c>
      <c r="C122" s="8">
        <v>34752</v>
      </c>
      <c r="D122" s="2" t="s">
        <v>19</v>
      </c>
      <c r="E122" s="2" t="str">
        <f>VLOOKUP(A122,'лист 2'!$A$3:$D$267,2,0)</f>
        <v>Power BI</v>
      </c>
      <c r="F122" s="9">
        <f>VLOOKUP($A$3,'лист 2'!$A$3:$D$267,3,0)</f>
        <v>45020</v>
      </c>
      <c r="G122" s="9" t="str">
        <f>VLOOKUP($A$3,'лист 2'!$A$3:$D$267,4,0)</f>
        <v>вебинар</v>
      </c>
      <c r="H122" s="2">
        <f>VLOOKUP($E122,'лист 3'!$A$3:$B$7,2,0)</f>
        <v>600</v>
      </c>
      <c r="I122" s="10">
        <f>VLOOKUP($G122,'лист 3'!$E$3:$F$5,2,0)</f>
        <v>0.1</v>
      </c>
      <c r="J122" s="3">
        <f t="shared" si="1"/>
        <v>540</v>
      </c>
    </row>
    <row r="123" spans="1:10" x14ac:dyDescent="0.3">
      <c r="A123" s="2">
        <v>1323</v>
      </c>
      <c r="B123" t="s">
        <v>144</v>
      </c>
      <c r="C123" s="8">
        <v>35032</v>
      </c>
      <c r="D123" s="2" t="s">
        <v>22</v>
      </c>
      <c r="E123" s="2" t="str">
        <f>VLOOKUP(A123,'лист 2'!$A$3:$D$267,2,0)</f>
        <v>Power BI</v>
      </c>
      <c r="F123" s="9">
        <f>VLOOKUP($A$3,'лист 2'!$A$3:$D$267,3,0)</f>
        <v>45020</v>
      </c>
      <c r="G123" s="9" t="str">
        <f>VLOOKUP($A$3,'лист 2'!$A$3:$D$267,4,0)</f>
        <v>вебинар</v>
      </c>
      <c r="H123" s="2">
        <f>VLOOKUP($E123,'лист 3'!$A$3:$B$7,2,0)</f>
        <v>600</v>
      </c>
      <c r="I123" s="10">
        <f>VLOOKUP($G123,'лист 3'!$E$3:$F$5,2,0)</f>
        <v>0.1</v>
      </c>
      <c r="J123" s="3">
        <f t="shared" si="1"/>
        <v>540</v>
      </c>
    </row>
    <row r="124" spans="1:10" x14ac:dyDescent="0.3">
      <c r="A124" s="2">
        <v>1461</v>
      </c>
      <c r="B124" t="s">
        <v>145</v>
      </c>
      <c r="C124" s="8">
        <v>29638</v>
      </c>
      <c r="D124" s="2" t="s">
        <v>19</v>
      </c>
      <c r="E124" s="2" t="str">
        <f>VLOOKUP(A124,'лист 2'!$A$3:$D$267,2,0)</f>
        <v>Power BI</v>
      </c>
      <c r="F124" s="9">
        <f>VLOOKUP($A$3,'лист 2'!$A$3:$D$267,3,0)</f>
        <v>45020</v>
      </c>
      <c r="G124" s="9" t="str">
        <f>VLOOKUP($A$3,'лист 2'!$A$3:$D$267,4,0)</f>
        <v>вебинар</v>
      </c>
      <c r="H124" s="2">
        <f>VLOOKUP($E124,'лист 3'!$A$3:$B$7,2,0)</f>
        <v>600</v>
      </c>
      <c r="I124" s="10">
        <f>VLOOKUP($G124,'лист 3'!$E$3:$F$5,2,0)</f>
        <v>0.1</v>
      </c>
      <c r="J124" s="3">
        <f t="shared" si="1"/>
        <v>540</v>
      </c>
    </row>
    <row r="125" spans="1:10" x14ac:dyDescent="0.3">
      <c r="A125" s="2">
        <v>1565</v>
      </c>
      <c r="B125" t="s">
        <v>146</v>
      </c>
      <c r="C125" s="8">
        <v>25200</v>
      </c>
      <c r="D125" s="2" t="s">
        <v>22</v>
      </c>
      <c r="E125" s="2" t="str">
        <f>VLOOKUP(A125,'лист 2'!$A$3:$D$267,2,0)</f>
        <v>Power BI</v>
      </c>
      <c r="F125" s="9">
        <f>VLOOKUP($A$3,'лист 2'!$A$3:$D$267,3,0)</f>
        <v>45020</v>
      </c>
      <c r="G125" s="9" t="str">
        <f>VLOOKUP($A$3,'лист 2'!$A$3:$D$267,4,0)</f>
        <v>вебинар</v>
      </c>
      <c r="H125" s="2">
        <f>VLOOKUP($E125,'лист 3'!$A$3:$B$7,2,0)</f>
        <v>600</v>
      </c>
      <c r="I125" s="10">
        <f>VLOOKUP($G125,'лист 3'!$E$3:$F$5,2,0)</f>
        <v>0.1</v>
      </c>
      <c r="J125" s="3">
        <f t="shared" si="1"/>
        <v>540</v>
      </c>
    </row>
    <row r="126" spans="1:10" x14ac:dyDescent="0.3">
      <c r="A126" s="2">
        <v>1370</v>
      </c>
      <c r="B126" t="s">
        <v>147</v>
      </c>
      <c r="C126" s="8">
        <v>36270</v>
      </c>
      <c r="D126" s="2" t="s">
        <v>19</v>
      </c>
      <c r="E126" s="2" t="str">
        <f>VLOOKUP(A126,'лист 2'!$A$3:$D$267,2,0)</f>
        <v>Power BI</v>
      </c>
      <c r="F126" s="9">
        <f>VLOOKUP($A$3,'лист 2'!$A$3:$D$267,3,0)</f>
        <v>45020</v>
      </c>
      <c r="G126" s="9" t="str">
        <f>VLOOKUP($A$3,'лист 2'!$A$3:$D$267,4,0)</f>
        <v>вебинар</v>
      </c>
      <c r="H126" s="2">
        <f>VLOOKUP($E126,'лист 3'!$A$3:$B$7,2,0)</f>
        <v>600</v>
      </c>
      <c r="I126" s="10">
        <f>VLOOKUP($G126,'лист 3'!$E$3:$F$5,2,0)</f>
        <v>0.1</v>
      </c>
      <c r="J126" s="3">
        <f t="shared" si="1"/>
        <v>540</v>
      </c>
    </row>
    <row r="127" spans="1:10" x14ac:dyDescent="0.3">
      <c r="A127" s="2">
        <v>1198</v>
      </c>
      <c r="B127" t="s">
        <v>148</v>
      </c>
      <c r="C127" s="8">
        <v>25779</v>
      </c>
      <c r="D127" s="2" t="s">
        <v>22</v>
      </c>
      <c r="E127" s="2" t="str">
        <f>VLOOKUP(A127,'лист 2'!$A$3:$D$267,2,0)</f>
        <v>Power BI</v>
      </c>
      <c r="F127" s="9">
        <f>VLOOKUP($A$3,'лист 2'!$A$3:$D$267,3,0)</f>
        <v>45020</v>
      </c>
      <c r="G127" s="9" t="str">
        <f>VLOOKUP($A$3,'лист 2'!$A$3:$D$267,4,0)</f>
        <v>вебинар</v>
      </c>
      <c r="H127" s="2">
        <f>VLOOKUP($E127,'лист 3'!$A$3:$B$7,2,0)</f>
        <v>600</v>
      </c>
      <c r="I127" s="10">
        <f>VLOOKUP($G127,'лист 3'!$E$3:$F$5,2,0)</f>
        <v>0.1</v>
      </c>
      <c r="J127" s="3">
        <f t="shared" si="1"/>
        <v>540</v>
      </c>
    </row>
    <row r="128" spans="1:10" x14ac:dyDescent="0.3">
      <c r="A128" s="2">
        <v>1208</v>
      </c>
      <c r="B128" t="s">
        <v>149</v>
      </c>
      <c r="C128" s="8">
        <v>23091</v>
      </c>
      <c r="D128" s="2" t="s">
        <v>22</v>
      </c>
      <c r="E128" s="2" t="str">
        <f>VLOOKUP(A128,'лист 2'!$A$3:$D$267,2,0)</f>
        <v>Power BI</v>
      </c>
      <c r="F128" s="9">
        <f>VLOOKUP($A$3,'лист 2'!$A$3:$D$267,3,0)</f>
        <v>45020</v>
      </c>
      <c r="G128" s="9" t="str">
        <f>VLOOKUP($A$3,'лист 2'!$A$3:$D$267,4,0)</f>
        <v>вебинар</v>
      </c>
      <c r="H128" s="2">
        <f>VLOOKUP($E128,'лист 3'!$A$3:$B$7,2,0)</f>
        <v>600</v>
      </c>
      <c r="I128" s="10">
        <f>VLOOKUP($G128,'лист 3'!$E$3:$F$5,2,0)</f>
        <v>0.1</v>
      </c>
      <c r="J128" s="3">
        <f t="shared" si="1"/>
        <v>540</v>
      </c>
    </row>
    <row r="129" spans="1:10" x14ac:dyDescent="0.3">
      <c r="A129" s="2">
        <v>1007</v>
      </c>
      <c r="B129" t="s">
        <v>150</v>
      </c>
      <c r="C129" s="8">
        <v>38210</v>
      </c>
      <c r="D129" s="2" t="s">
        <v>19</v>
      </c>
      <c r="E129" s="2" t="str">
        <f>VLOOKUP(A129,'лист 2'!$A$3:$D$267,2,0)</f>
        <v>Power BI</v>
      </c>
      <c r="F129" s="9">
        <f>VLOOKUP($A$3,'лист 2'!$A$3:$D$267,3,0)</f>
        <v>45020</v>
      </c>
      <c r="G129" s="9" t="str">
        <f>VLOOKUP($A$3,'лист 2'!$A$3:$D$267,4,0)</f>
        <v>вебинар</v>
      </c>
      <c r="H129" s="2">
        <f>VLOOKUP($E129,'лист 3'!$A$3:$B$7,2,0)</f>
        <v>600</v>
      </c>
      <c r="I129" s="10">
        <f>VLOOKUP($G129,'лист 3'!$E$3:$F$5,2,0)</f>
        <v>0.1</v>
      </c>
      <c r="J129" s="3">
        <f t="shared" si="1"/>
        <v>540</v>
      </c>
    </row>
    <row r="130" spans="1:10" x14ac:dyDescent="0.3">
      <c r="A130" s="2">
        <v>1031</v>
      </c>
      <c r="B130" t="s">
        <v>151</v>
      </c>
      <c r="C130" s="8">
        <v>22477</v>
      </c>
      <c r="D130" s="2" t="s">
        <v>22</v>
      </c>
      <c r="E130" s="2" t="str">
        <f>VLOOKUP(A130,'лист 2'!$A$3:$D$267,2,0)</f>
        <v>Power BI</v>
      </c>
      <c r="F130" s="9">
        <f>VLOOKUP($A$3,'лист 2'!$A$3:$D$267,3,0)</f>
        <v>45020</v>
      </c>
      <c r="G130" s="9" t="str">
        <f>VLOOKUP($A$3,'лист 2'!$A$3:$D$267,4,0)</f>
        <v>вебинар</v>
      </c>
      <c r="H130" s="2">
        <f>VLOOKUP($E130,'лист 3'!$A$3:$B$7,2,0)</f>
        <v>600</v>
      </c>
      <c r="I130" s="10">
        <f>VLOOKUP($G130,'лист 3'!$E$3:$F$5,2,0)</f>
        <v>0.1</v>
      </c>
      <c r="J130" s="3">
        <f t="shared" si="1"/>
        <v>540</v>
      </c>
    </row>
    <row r="131" spans="1:10" x14ac:dyDescent="0.3">
      <c r="A131" s="2">
        <v>1045</v>
      </c>
      <c r="B131" t="s">
        <v>152</v>
      </c>
      <c r="C131" s="8">
        <v>25718</v>
      </c>
      <c r="D131" s="2" t="s">
        <v>12</v>
      </c>
      <c r="E131" s="2" t="str">
        <f>VLOOKUP(A131,'лист 2'!$A$3:$D$267,2,0)</f>
        <v>Power BI</v>
      </c>
      <c r="F131" s="9">
        <f>VLOOKUP($A$3,'лист 2'!$A$3:$D$267,3,0)</f>
        <v>45020</v>
      </c>
      <c r="G131" s="9" t="str">
        <f>VLOOKUP($A$3,'лист 2'!$A$3:$D$267,4,0)</f>
        <v>вебинар</v>
      </c>
      <c r="H131" s="2">
        <f>VLOOKUP($E131,'лист 3'!$A$3:$B$7,2,0)</f>
        <v>600</v>
      </c>
      <c r="I131" s="10">
        <f>VLOOKUP($G131,'лист 3'!$E$3:$F$5,2,0)</f>
        <v>0.1</v>
      </c>
      <c r="J131" s="3">
        <f t="shared" si="1"/>
        <v>540</v>
      </c>
    </row>
    <row r="132" spans="1:10" x14ac:dyDescent="0.3">
      <c r="A132" s="2">
        <v>1056</v>
      </c>
      <c r="B132" t="s">
        <v>153</v>
      </c>
      <c r="C132" s="8">
        <v>31685</v>
      </c>
      <c r="D132" s="2" t="s">
        <v>12</v>
      </c>
      <c r="E132" s="2" t="str">
        <f>VLOOKUP(A132,'лист 2'!$A$3:$D$267,2,0)</f>
        <v>Power BI</v>
      </c>
      <c r="F132" s="9">
        <f>VLOOKUP($A$3,'лист 2'!$A$3:$D$267,3,0)</f>
        <v>45020</v>
      </c>
      <c r="G132" s="9" t="str">
        <f>VLOOKUP($A$3,'лист 2'!$A$3:$D$267,4,0)</f>
        <v>вебинар</v>
      </c>
      <c r="H132" s="2">
        <f>VLOOKUP($E132,'лист 3'!$A$3:$B$7,2,0)</f>
        <v>600</v>
      </c>
      <c r="I132" s="10">
        <f>VLOOKUP($G132,'лист 3'!$E$3:$F$5,2,0)</f>
        <v>0.1</v>
      </c>
      <c r="J132" s="3">
        <f t="shared" ref="J132:J195" si="2">H132-H132*I132</f>
        <v>540</v>
      </c>
    </row>
    <row r="133" spans="1:10" x14ac:dyDescent="0.3">
      <c r="A133" s="2">
        <v>1063</v>
      </c>
      <c r="B133" t="s">
        <v>154</v>
      </c>
      <c r="C133" s="8">
        <v>34878</v>
      </c>
      <c r="D133" s="2" t="s">
        <v>12</v>
      </c>
      <c r="E133" s="2" t="str">
        <f>VLOOKUP(A133,'лист 2'!$A$3:$D$267,2,0)</f>
        <v>Power BI</v>
      </c>
      <c r="F133" s="9">
        <f>VLOOKUP($A$3,'лист 2'!$A$3:$D$267,3,0)</f>
        <v>45020</v>
      </c>
      <c r="G133" s="9" t="str">
        <f>VLOOKUP($A$3,'лист 2'!$A$3:$D$267,4,0)</f>
        <v>вебинар</v>
      </c>
      <c r="H133" s="2">
        <f>VLOOKUP($E133,'лист 3'!$A$3:$B$7,2,0)</f>
        <v>600</v>
      </c>
      <c r="I133" s="10">
        <f>VLOOKUP($G133,'лист 3'!$E$3:$F$5,2,0)</f>
        <v>0.1</v>
      </c>
      <c r="J133" s="3">
        <f t="shared" si="2"/>
        <v>540</v>
      </c>
    </row>
    <row r="134" spans="1:10" x14ac:dyDescent="0.3">
      <c r="A134" s="2">
        <v>1073</v>
      </c>
      <c r="B134" t="s">
        <v>155</v>
      </c>
      <c r="C134" s="8">
        <v>36289</v>
      </c>
      <c r="D134" s="2" t="s">
        <v>81</v>
      </c>
      <c r="E134" s="2" t="str">
        <f>VLOOKUP(A134,'лист 2'!$A$3:$D$267,2,0)</f>
        <v>Power BI</v>
      </c>
      <c r="F134" s="9">
        <f>VLOOKUP($A$3,'лист 2'!$A$3:$D$267,3,0)</f>
        <v>45020</v>
      </c>
      <c r="G134" s="9" t="str">
        <f>VLOOKUP($A$3,'лист 2'!$A$3:$D$267,4,0)</f>
        <v>вебинар</v>
      </c>
      <c r="H134" s="2">
        <f>VLOOKUP($E134,'лист 3'!$A$3:$B$7,2,0)</f>
        <v>600</v>
      </c>
      <c r="I134" s="10">
        <f>VLOOKUP($G134,'лист 3'!$E$3:$F$5,2,0)</f>
        <v>0.1</v>
      </c>
      <c r="J134" s="3">
        <f t="shared" si="2"/>
        <v>540</v>
      </c>
    </row>
    <row r="135" spans="1:10" x14ac:dyDescent="0.3">
      <c r="A135" s="2">
        <v>1074</v>
      </c>
      <c r="B135" t="s">
        <v>156</v>
      </c>
      <c r="C135" s="8">
        <v>34433</v>
      </c>
      <c r="D135" s="2" t="s">
        <v>19</v>
      </c>
      <c r="E135" s="2" t="str">
        <f>VLOOKUP(A135,'лист 2'!$A$3:$D$267,2,0)</f>
        <v>Power BI</v>
      </c>
      <c r="F135" s="9">
        <f>VLOOKUP($A$3,'лист 2'!$A$3:$D$267,3,0)</f>
        <v>45020</v>
      </c>
      <c r="G135" s="9" t="str">
        <f>VLOOKUP($A$3,'лист 2'!$A$3:$D$267,4,0)</f>
        <v>вебинар</v>
      </c>
      <c r="H135" s="2">
        <f>VLOOKUP($E135,'лист 3'!$A$3:$B$7,2,0)</f>
        <v>600</v>
      </c>
      <c r="I135" s="10">
        <f>VLOOKUP($G135,'лист 3'!$E$3:$F$5,2,0)</f>
        <v>0.1</v>
      </c>
      <c r="J135" s="3">
        <f t="shared" si="2"/>
        <v>540</v>
      </c>
    </row>
    <row r="136" spans="1:10" x14ac:dyDescent="0.3">
      <c r="A136" s="2">
        <v>1078</v>
      </c>
      <c r="B136" t="s">
        <v>157</v>
      </c>
      <c r="C136" s="8">
        <v>26071</v>
      </c>
      <c r="D136" s="2" t="s">
        <v>79</v>
      </c>
      <c r="E136" s="2" t="str">
        <f>VLOOKUP(A136,'лист 2'!$A$3:$D$267,2,0)</f>
        <v>Power BI</v>
      </c>
      <c r="F136" s="9">
        <f>VLOOKUP($A$3,'лист 2'!$A$3:$D$267,3,0)</f>
        <v>45020</v>
      </c>
      <c r="G136" s="9" t="str">
        <f>VLOOKUP($A$3,'лист 2'!$A$3:$D$267,4,0)</f>
        <v>вебинар</v>
      </c>
      <c r="H136" s="2">
        <f>VLOOKUP($E136,'лист 3'!$A$3:$B$7,2,0)</f>
        <v>600</v>
      </c>
      <c r="I136" s="10">
        <f>VLOOKUP($G136,'лист 3'!$E$3:$F$5,2,0)</f>
        <v>0.1</v>
      </c>
      <c r="J136" s="3">
        <f t="shared" si="2"/>
        <v>540</v>
      </c>
    </row>
    <row r="137" spans="1:10" x14ac:dyDescent="0.3">
      <c r="A137" s="2">
        <v>1079</v>
      </c>
      <c r="B137" t="s">
        <v>158</v>
      </c>
      <c r="C137" s="8">
        <v>25191</v>
      </c>
      <c r="D137" s="2" t="s">
        <v>19</v>
      </c>
      <c r="E137" s="2" t="str">
        <f>VLOOKUP(A137,'лист 2'!$A$3:$D$267,2,0)</f>
        <v>Power BI</v>
      </c>
      <c r="F137" s="9">
        <f>VLOOKUP($A$3,'лист 2'!$A$3:$D$267,3,0)</f>
        <v>45020</v>
      </c>
      <c r="G137" s="9" t="str">
        <f>VLOOKUP($A$3,'лист 2'!$A$3:$D$267,4,0)</f>
        <v>вебинар</v>
      </c>
      <c r="H137" s="2">
        <f>VLOOKUP($E137,'лист 3'!$A$3:$B$7,2,0)</f>
        <v>600</v>
      </c>
      <c r="I137" s="10">
        <f>VLOOKUP($G137,'лист 3'!$E$3:$F$5,2,0)</f>
        <v>0.1</v>
      </c>
      <c r="J137" s="3">
        <f t="shared" si="2"/>
        <v>540</v>
      </c>
    </row>
    <row r="138" spans="1:10" x14ac:dyDescent="0.3">
      <c r="A138" s="2">
        <v>1083</v>
      </c>
      <c r="B138" t="s">
        <v>159</v>
      </c>
      <c r="C138" s="8">
        <v>26903</v>
      </c>
      <c r="D138" s="2" t="s">
        <v>81</v>
      </c>
      <c r="E138" s="2" t="str">
        <f>VLOOKUP(A138,'лист 2'!$A$3:$D$267,2,0)</f>
        <v>Power BI</v>
      </c>
      <c r="F138" s="9">
        <f>VLOOKUP($A$3,'лист 2'!$A$3:$D$267,3,0)</f>
        <v>45020</v>
      </c>
      <c r="G138" s="9" t="str">
        <f>VLOOKUP($A$3,'лист 2'!$A$3:$D$267,4,0)</f>
        <v>вебинар</v>
      </c>
      <c r="H138" s="2">
        <f>VLOOKUP($E138,'лист 3'!$A$3:$B$7,2,0)</f>
        <v>600</v>
      </c>
      <c r="I138" s="10">
        <f>VLOOKUP($G138,'лист 3'!$E$3:$F$5,2,0)</f>
        <v>0.1</v>
      </c>
      <c r="J138" s="3">
        <f t="shared" si="2"/>
        <v>540</v>
      </c>
    </row>
    <row r="139" spans="1:10" x14ac:dyDescent="0.3">
      <c r="A139" s="2">
        <v>1084</v>
      </c>
      <c r="B139" t="s">
        <v>160</v>
      </c>
      <c r="C139" s="8">
        <v>30610</v>
      </c>
      <c r="D139" s="2" t="s">
        <v>19</v>
      </c>
      <c r="E139" s="2" t="str">
        <f>VLOOKUP(A139,'лист 2'!$A$3:$D$267,2,0)</f>
        <v>Power BI</v>
      </c>
      <c r="F139" s="9">
        <f>VLOOKUP($A$3,'лист 2'!$A$3:$D$267,3,0)</f>
        <v>45020</v>
      </c>
      <c r="G139" s="9" t="str">
        <f>VLOOKUP($A$3,'лист 2'!$A$3:$D$267,4,0)</f>
        <v>вебинар</v>
      </c>
      <c r="H139" s="2">
        <f>VLOOKUP($E139,'лист 3'!$A$3:$B$7,2,0)</f>
        <v>600</v>
      </c>
      <c r="I139" s="10">
        <f>VLOOKUP($G139,'лист 3'!$E$3:$F$5,2,0)</f>
        <v>0.1</v>
      </c>
      <c r="J139" s="3">
        <f t="shared" si="2"/>
        <v>540</v>
      </c>
    </row>
    <row r="140" spans="1:10" x14ac:dyDescent="0.3">
      <c r="A140" s="2">
        <v>1068</v>
      </c>
      <c r="B140" t="s">
        <v>161</v>
      </c>
      <c r="C140" s="8">
        <v>26011</v>
      </c>
      <c r="D140" s="2" t="s">
        <v>79</v>
      </c>
      <c r="E140" s="2" t="str">
        <f>VLOOKUP(A140,'лист 2'!$A$3:$D$267,2,0)</f>
        <v>Power BI</v>
      </c>
      <c r="F140" s="9">
        <f>VLOOKUP($A$3,'лист 2'!$A$3:$D$267,3,0)</f>
        <v>45020</v>
      </c>
      <c r="G140" s="9" t="str">
        <f>VLOOKUP($A$3,'лист 2'!$A$3:$D$267,4,0)</f>
        <v>вебинар</v>
      </c>
      <c r="H140" s="2">
        <f>VLOOKUP($E140,'лист 3'!$A$3:$B$7,2,0)</f>
        <v>600</v>
      </c>
      <c r="I140" s="10">
        <f>VLOOKUP($G140,'лист 3'!$E$3:$F$5,2,0)</f>
        <v>0.1</v>
      </c>
      <c r="J140" s="3">
        <f t="shared" si="2"/>
        <v>540</v>
      </c>
    </row>
    <row r="141" spans="1:10" x14ac:dyDescent="0.3">
      <c r="A141" s="2">
        <v>1540</v>
      </c>
      <c r="B141" t="s">
        <v>162</v>
      </c>
      <c r="C141" s="8">
        <v>28311</v>
      </c>
      <c r="D141" s="2" t="s">
        <v>19</v>
      </c>
      <c r="E141" s="2" t="str">
        <f>VLOOKUP(A141,'лист 2'!$A$3:$D$267,2,0)</f>
        <v>Power BI</v>
      </c>
      <c r="F141" s="9">
        <f>VLOOKUP($A$3,'лист 2'!$A$3:$D$267,3,0)</f>
        <v>45020</v>
      </c>
      <c r="G141" s="9" t="str">
        <f>VLOOKUP($A$3,'лист 2'!$A$3:$D$267,4,0)</f>
        <v>вебинар</v>
      </c>
      <c r="H141" s="2">
        <f>VLOOKUP($E141,'лист 3'!$A$3:$B$7,2,0)</f>
        <v>600</v>
      </c>
      <c r="I141" s="10">
        <f>VLOOKUP($G141,'лист 3'!$E$3:$F$5,2,0)</f>
        <v>0.1</v>
      </c>
      <c r="J141" s="3">
        <f t="shared" si="2"/>
        <v>540</v>
      </c>
    </row>
    <row r="142" spans="1:10" x14ac:dyDescent="0.3">
      <c r="A142" s="2">
        <v>1113</v>
      </c>
      <c r="B142" t="s">
        <v>163</v>
      </c>
      <c r="C142" s="8">
        <v>22759</v>
      </c>
      <c r="D142" s="2" t="s">
        <v>22</v>
      </c>
      <c r="E142" s="2" t="str">
        <f>VLOOKUP(A142,'лист 2'!$A$3:$D$267,2,0)</f>
        <v>Power BI</v>
      </c>
      <c r="F142" s="9">
        <f>VLOOKUP($A$3,'лист 2'!$A$3:$D$267,3,0)</f>
        <v>45020</v>
      </c>
      <c r="G142" s="9" t="str">
        <f>VLOOKUP($A$3,'лист 2'!$A$3:$D$267,4,0)</f>
        <v>вебинар</v>
      </c>
      <c r="H142" s="2">
        <f>VLOOKUP($E142,'лист 3'!$A$3:$B$7,2,0)</f>
        <v>600</v>
      </c>
      <c r="I142" s="10">
        <f>VLOOKUP($G142,'лист 3'!$E$3:$F$5,2,0)</f>
        <v>0.1</v>
      </c>
      <c r="J142" s="3">
        <f t="shared" si="2"/>
        <v>540</v>
      </c>
    </row>
    <row r="143" spans="1:10" x14ac:dyDescent="0.3">
      <c r="A143" s="2">
        <v>1114</v>
      </c>
      <c r="B143" t="s">
        <v>164</v>
      </c>
      <c r="C143" s="8">
        <v>24818</v>
      </c>
      <c r="D143" s="2" t="s">
        <v>19</v>
      </c>
      <c r="E143" s="2" t="str">
        <f>VLOOKUP(A143,'лист 2'!$A$3:$D$267,2,0)</f>
        <v>Power BI</v>
      </c>
      <c r="F143" s="9">
        <f>VLOOKUP($A$3,'лист 2'!$A$3:$D$267,3,0)</f>
        <v>45020</v>
      </c>
      <c r="G143" s="9" t="str">
        <f>VLOOKUP($A$3,'лист 2'!$A$3:$D$267,4,0)</f>
        <v>вебинар</v>
      </c>
      <c r="H143" s="2">
        <f>VLOOKUP($E143,'лист 3'!$A$3:$B$7,2,0)</f>
        <v>600</v>
      </c>
      <c r="I143" s="10">
        <f>VLOOKUP($G143,'лист 3'!$E$3:$F$5,2,0)</f>
        <v>0.1</v>
      </c>
      <c r="J143" s="3">
        <f t="shared" si="2"/>
        <v>540</v>
      </c>
    </row>
    <row r="144" spans="1:10" x14ac:dyDescent="0.3">
      <c r="A144" s="2">
        <v>1118</v>
      </c>
      <c r="B144" t="s">
        <v>165</v>
      </c>
      <c r="C144" s="8">
        <v>29052</v>
      </c>
      <c r="D144" s="2" t="s">
        <v>19</v>
      </c>
      <c r="E144" s="2" t="str">
        <f>VLOOKUP(A144,'лист 2'!$A$3:$D$267,2,0)</f>
        <v>Power BI</v>
      </c>
      <c r="F144" s="9">
        <f>VLOOKUP($A$3,'лист 2'!$A$3:$D$267,3,0)</f>
        <v>45020</v>
      </c>
      <c r="G144" s="9" t="str">
        <f>VLOOKUP($A$3,'лист 2'!$A$3:$D$267,4,0)</f>
        <v>вебинар</v>
      </c>
      <c r="H144" s="2">
        <f>VLOOKUP($E144,'лист 3'!$A$3:$B$7,2,0)</f>
        <v>600</v>
      </c>
      <c r="I144" s="10">
        <f>VLOOKUP($G144,'лист 3'!$E$3:$F$5,2,0)</f>
        <v>0.1</v>
      </c>
      <c r="J144" s="3">
        <f t="shared" si="2"/>
        <v>540</v>
      </c>
    </row>
    <row r="145" spans="1:10" x14ac:dyDescent="0.3">
      <c r="A145" s="2">
        <v>1119</v>
      </c>
      <c r="B145" t="s">
        <v>166</v>
      </c>
      <c r="C145" s="8">
        <v>21974</v>
      </c>
      <c r="D145" s="2" t="s">
        <v>19</v>
      </c>
      <c r="E145" s="2" t="str">
        <f>VLOOKUP(A145,'лист 2'!$A$3:$D$267,2,0)</f>
        <v>Power BI</v>
      </c>
      <c r="F145" s="9">
        <f>VLOOKUP($A$3,'лист 2'!$A$3:$D$267,3,0)</f>
        <v>45020</v>
      </c>
      <c r="G145" s="9" t="str">
        <f>VLOOKUP($A$3,'лист 2'!$A$3:$D$267,4,0)</f>
        <v>вебинар</v>
      </c>
      <c r="H145" s="2">
        <f>VLOOKUP($E145,'лист 3'!$A$3:$B$7,2,0)</f>
        <v>600</v>
      </c>
      <c r="I145" s="10">
        <f>VLOOKUP($G145,'лист 3'!$E$3:$F$5,2,0)</f>
        <v>0.1</v>
      </c>
      <c r="J145" s="3">
        <f t="shared" si="2"/>
        <v>540</v>
      </c>
    </row>
    <row r="146" spans="1:10" x14ac:dyDescent="0.3">
      <c r="A146" s="2">
        <v>1313</v>
      </c>
      <c r="B146" t="s">
        <v>167</v>
      </c>
      <c r="C146" s="8">
        <v>28100</v>
      </c>
      <c r="D146" s="2" t="s">
        <v>12</v>
      </c>
      <c r="E146" s="2" t="str">
        <f>VLOOKUP(A146,'лист 2'!$A$3:$D$267,2,0)</f>
        <v>Power BI</v>
      </c>
      <c r="F146" s="9">
        <f>VLOOKUP($A$3,'лист 2'!$A$3:$D$267,3,0)</f>
        <v>45020</v>
      </c>
      <c r="G146" s="9" t="str">
        <f>VLOOKUP($A$3,'лист 2'!$A$3:$D$267,4,0)</f>
        <v>вебинар</v>
      </c>
      <c r="H146" s="2">
        <f>VLOOKUP($E146,'лист 3'!$A$3:$B$7,2,0)</f>
        <v>600</v>
      </c>
      <c r="I146" s="10">
        <f>VLOOKUP($G146,'лист 3'!$E$3:$F$5,2,0)</f>
        <v>0.1</v>
      </c>
      <c r="J146" s="3">
        <f t="shared" si="2"/>
        <v>540</v>
      </c>
    </row>
    <row r="147" spans="1:10" x14ac:dyDescent="0.3">
      <c r="A147" s="2">
        <v>1298</v>
      </c>
      <c r="B147" t="s">
        <v>168</v>
      </c>
      <c r="C147" s="8">
        <v>35141</v>
      </c>
      <c r="D147" s="2" t="s">
        <v>12</v>
      </c>
      <c r="E147" s="2" t="str">
        <f>VLOOKUP(A147,'лист 2'!$A$3:$D$267,2,0)</f>
        <v>Power BI</v>
      </c>
      <c r="F147" s="9">
        <f>VLOOKUP($A$3,'лист 2'!$A$3:$D$267,3,0)</f>
        <v>45020</v>
      </c>
      <c r="G147" s="9" t="str">
        <f>VLOOKUP($A$3,'лист 2'!$A$3:$D$267,4,0)</f>
        <v>вебинар</v>
      </c>
      <c r="H147" s="2">
        <f>VLOOKUP($E147,'лист 3'!$A$3:$B$7,2,0)</f>
        <v>600</v>
      </c>
      <c r="I147" s="10">
        <f>VLOOKUP($G147,'лист 3'!$E$3:$F$5,2,0)</f>
        <v>0.1</v>
      </c>
      <c r="J147" s="3">
        <f t="shared" si="2"/>
        <v>540</v>
      </c>
    </row>
    <row r="148" spans="1:10" x14ac:dyDescent="0.3">
      <c r="A148" s="2">
        <v>1318</v>
      </c>
      <c r="B148" t="s">
        <v>169</v>
      </c>
      <c r="C148" s="8">
        <v>25242</v>
      </c>
      <c r="D148" s="2" t="s">
        <v>12</v>
      </c>
      <c r="E148" s="2" t="str">
        <f>VLOOKUP(A148,'лист 2'!$A$3:$D$267,2,0)</f>
        <v>Power BI</v>
      </c>
      <c r="F148" s="9">
        <f>VLOOKUP($A$3,'лист 2'!$A$3:$D$267,3,0)</f>
        <v>45020</v>
      </c>
      <c r="G148" s="9" t="str">
        <f>VLOOKUP($A$3,'лист 2'!$A$3:$D$267,4,0)</f>
        <v>вебинар</v>
      </c>
      <c r="H148" s="2">
        <f>VLOOKUP($E148,'лист 3'!$A$3:$B$7,2,0)</f>
        <v>600</v>
      </c>
      <c r="I148" s="10">
        <f>VLOOKUP($G148,'лист 3'!$E$3:$F$5,2,0)</f>
        <v>0.1</v>
      </c>
      <c r="J148" s="3">
        <f t="shared" si="2"/>
        <v>540</v>
      </c>
    </row>
    <row r="149" spans="1:10" x14ac:dyDescent="0.3">
      <c r="A149" s="2">
        <v>1541</v>
      </c>
      <c r="B149" t="s">
        <v>170</v>
      </c>
      <c r="C149" s="8">
        <v>32968</v>
      </c>
      <c r="D149" s="2" t="s">
        <v>81</v>
      </c>
      <c r="E149" s="2" t="str">
        <f>VLOOKUP(A149,'лист 2'!$A$3:$D$267,2,0)</f>
        <v>Power BI</v>
      </c>
      <c r="F149" s="9">
        <f>VLOOKUP($A$3,'лист 2'!$A$3:$D$267,3,0)</f>
        <v>45020</v>
      </c>
      <c r="G149" s="9" t="str">
        <f>VLOOKUP($A$3,'лист 2'!$A$3:$D$267,4,0)</f>
        <v>вебинар</v>
      </c>
      <c r="H149" s="2">
        <f>VLOOKUP($E149,'лист 3'!$A$3:$B$7,2,0)</f>
        <v>600</v>
      </c>
      <c r="I149" s="10">
        <f>VLOOKUP($G149,'лист 3'!$E$3:$F$5,2,0)</f>
        <v>0.1</v>
      </c>
      <c r="J149" s="3">
        <f t="shared" si="2"/>
        <v>540</v>
      </c>
    </row>
    <row r="150" spans="1:10" x14ac:dyDescent="0.3">
      <c r="A150" s="2">
        <v>1581</v>
      </c>
      <c r="B150" t="s">
        <v>171</v>
      </c>
      <c r="C150" s="8">
        <v>28654</v>
      </c>
      <c r="D150" s="2" t="s">
        <v>19</v>
      </c>
      <c r="E150" s="2" t="str">
        <f>VLOOKUP(A150,'лист 2'!$A$3:$D$267,2,0)</f>
        <v>Power BI</v>
      </c>
      <c r="F150" s="9">
        <f>VLOOKUP($A$3,'лист 2'!$A$3:$D$267,3,0)</f>
        <v>45020</v>
      </c>
      <c r="G150" s="9" t="str">
        <f>VLOOKUP($A$3,'лист 2'!$A$3:$D$267,4,0)</f>
        <v>вебинар</v>
      </c>
      <c r="H150" s="2">
        <f>VLOOKUP($E150,'лист 3'!$A$3:$B$7,2,0)</f>
        <v>600</v>
      </c>
      <c r="I150" s="10">
        <f>VLOOKUP($G150,'лист 3'!$E$3:$F$5,2,0)</f>
        <v>0.1</v>
      </c>
      <c r="J150" s="3">
        <f t="shared" si="2"/>
        <v>540</v>
      </c>
    </row>
    <row r="151" spans="1:10" x14ac:dyDescent="0.3">
      <c r="A151" s="2">
        <v>1460</v>
      </c>
      <c r="B151" t="s">
        <v>172</v>
      </c>
      <c r="C151" s="8">
        <v>23200</v>
      </c>
      <c r="D151" s="2" t="s">
        <v>79</v>
      </c>
      <c r="E151" s="2" t="str">
        <f>VLOOKUP(A151,'лист 2'!$A$3:$D$267,2,0)</f>
        <v>Power BI</v>
      </c>
      <c r="F151" s="9">
        <f>VLOOKUP($A$3,'лист 2'!$A$3:$D$267,3,0)</f>
        <v>45020</v>
      </c>
      <c r="G151" s="9" t="str">
        <f>VLOOKUP($A$3,'лист 2'!$A$3:$D$267,4,0)</f>
        <v>вебинар</v>
      </c>
      <c r="H151" s="2">
        <f>VLOOKUP($E151,'лист 3'!$A$3:$B$7,2,0)</f>
        <v>600</v>
      </c>
      <c r="I151" s="10">
        <f>VLOOKUP($G151,'лист 3'!$E$3:$F$5,2,0)</f>
        <v>0.1</v>
      </c>
      <c r="J151" s="3">
        <f t="shared" si="2"/>
        <v>540</v>
      </c>
    </row>
    <row r="152" spans="1:10" x14ac:dyDescent="0.3">
      <c r="A152" s="2">
        <v>1405</v>
      </c>
      <c r="B152" t="s">
        <v>173</v>
      </c>
      <c r="C152" s="8">
        <v>36681</v>
      </c>
      <c r="D152" s="2" t="s">
        <v>81</v>
      </c>
      <c r="E152" s="2" t="str">
        <f>VLOOKUP(A152,'лист 2'!$A$3:$D$267,2,0)</f>
        <v>Power BI</v>
      </c>
      <c r="F152" s="9">
        <f>VLOOKUP($A$3,'лист 2'!$A$3:$D$267,3,0)</f>
        <v>45020</v>
      </c>
      <c r="G152" s="9" t="str">
        <f>VLOOKUP($A$3,'лист 2'!$A$3:$D$267,4,0)</f>
        <v>вебинар</v>
      </c>
      <c r="H152" s="2">
        <f>VLOOKUP($E152,'лист 3'!$A$3:$B$7,2,0)</f>
        <v>600</v>
      </c>
      <c r="I152" s="10">
        <f>VLOOKUP($G152,'лист 3'!$E$3:$F$5,2,0)</f>
        <v>0.1</v>
      </c>
      <c r="J152" s="3">
        <f t="shared" si="2"/>
        <v>540</v>
      </c>
    </row>
    <row r="153" spans="1:10" x14ac:dyDescent="0.3">
      <c r="A153" s="2">
        <v>1314</v>
      </c>
      <c r="B153" t="s">
        <v>174</v>
      </c>
      <c r="C153" s="8">
        <v>38598</v>
      </c>
      <c r="D153" s="2" t="s">
        <v>79</v>
      </c>
      <c r="E153" s="2" t="str">
        <f>VLOOKUP(A153,'лист 2'!$A$3:$D$267,2,0)</f>
        <v>Power BI</v>
      </c>
      <c r="F153" s="9">
        <f>VLOOKUP($A$3,'лист 2'!$A$3:$D$267,3,0)</f>
        <v>45020</v>
      </c>
      <c r="G153" s="9" t="str">
        <f>VLOOKUP($A$3,'лист 2'!$A$3:$D$267,4,0)</f>
        <v>вебинар</v>
      </c>
      <c r="H153" s="2">
        <f>VLOOKUP($E153,'лист 3'!$A$3:$B$7,2,0)</f>
        <v>600</v>
      </c>
      <c r="I153" s="10">
        <f>VLOOKUP($G153,'лист 3'!$E$3:$F$5,2,0)</f>
        <v>0.1</v>
      </c>
      <c r="J153" s="3">
        <f t="shared" si="2"/>
        <v>540</v>
      </c>
    </row>
    <row r="154" spans="1:10" x14ac:dyDescent="0.3">
      <c r="A154" s="2">
        <v>1443</v>
      </c>
      <c r="B154" t="s">
        <v>175</v>
      </c>
      <c r="C154" s="8">
        <v>30311</v>
      </c>
      <c r="D154" s="2" t="s">
        <v>79</v>
      </c>
      <c r="E154" s="2" t="str">
        <f>VLOOKUP(A154,'лист 2'!$A$3:$D$267,2,0)</f>
        <v>Power BI</v>
      </c>
      <c r="F154" s="9">
        <f>VLOOKUP($A$3,'лист 2'!$A$3:$D$267,3,0)</f>
        <v>45020</v>
      </c>
      <c r="G154" s="9" t="str">
        <f>VLOOKUP($A$3,'лист 2'!$A$3:$D$267,4,0)</f>
        <v>вебинар</v>
      </c>
      <c r="H154" s="2">
        <f>VLOOKUP($E154,'лист 3'!$A$3:$B$7,2,0)</f>
        <v>600</v>
      </c>
      <c r="I154" s="10">
        <f>VLOOKUP($G154,'лист 3'!$E$3:$F$5,2,0)</f>
        <v>0.1</v>
      </c>
      <c r="J154" s="3">
        <f t="shared" si="2"/>
        <v>540</v>
      </c>
    </row>
    <row r="155" spans="1:10" x14ac:dyDescent="0.3">
      <c r="A155" s="2">
        <v>1184</v>
      </c>
      <c r="B155" t="s">
        <v>176</v>
      </c>
      <c r="C155" s="8">
        <v>29759</v>
      </c>
      <c r="D155" s="2" t="s">
        <v>19</v>
      </c>
      <c r="E155" s="2" t="str">
        <f>VLOOKUP(A155,'лист 2'!$A$3:$D$267,2,0)</f>
        <v>Power BI</v>
      </c>
      <c r="F155" s="9">
        <f>VLOOKUP($A$3,'лист 2'!$A$3:$D$267,3,0)</f>
        <v>45020</v>
      </c>
      <c r="G155" s="9" t="str">
        <f>VLOOKUP($A$3,'лист 2'!$A$3:$D$267,4,0)</f>
        <v>вебинар</v>
      </c>
      <c r="H155" s="2">
        <f>VLOOKUP($E155,'лист 3'!$A$3:$B$7,2,0)</f>
        <v>600</v>
      </c>
      <c r="I155" s="10">
        <f>VLOOKUP($G155,'лист 3'!$E$3:$F$5,2,0)</f>
        <v>0.1</v>
      </c>
      <c r="J155" s="3">
        <f t="shared" si="2"/>
        <v>540</v>
      </c>
    </row>
    <row r="156" spans="1:10" x14ac:dyDescent="0.3">
      <c r="A156" s="2">
        <v>1551</v>
      </c>
      <c r="B156" t="s">
        <v>177</v>
      </c>
      <c r="C156" s="8">
        <v>35965</v>
      </c>
      <c r="D156" s="2" t="s">
        <v>12</v>
      </c>
      <c r="E156" s="2" t="str">
        <f>VLOOKUP(A156,'лист 2'!$A$3:$D$267,2,0)</f>
        <v>Power BI</v>
      </c>
      <c r="F156" s="9">
        <f>VLOOKUP($A$3,'лист 2'!$A$3:$D$267,3,0)</f>
        <v>45020</v>
      </c>
      <c r="G156" s="9" t="str">
        <f>VLOOKUP($A$3,'лист 2'!$A$3:$D$267,4,0)</f>
        <v>вебинар</v>
      </c>
      <c r="H156" s="2">
        <f>VLOOKUP($E156,'лист 3'!$A$3:$B$7,2,0)</f>
        <v>600</v>
      </c>
      <c r="I156" s="10">
        <f>VLOOKUP($G156,'лист 3'!$E$3:$F$5,2,0)</f>
        <v>0.1</v>
      </c>
      <c r="J156" s="3">
        <f t="shared" si="2"/>
        <v>540</v>
      </c>
    </row>
    <row r="157" spans="1:10" x14ac:dyDescent="0.3">
      <c r="A157" s="2">
        <v>1189</v>
      </c>
      <c r="B157" t="s">
        <v>178</v>
      </c>
      <c r="C157" s="8">
        <v>38745</v>
      </c>
      <c r="D157" s="2" t="s">
        <v>72</v>
      </c>
      <c r="E157" s="2" t="str">
        <f>VLOOKUP(A157,'лист 2'!$A$3:$D$267,2,0)</f>
        <v>Power BI</v>
      </c>
      <c r="F157" s="9">
        <f>VLOOKUP($A$3,'лист 2'!$A$3:$D$267,3,0)</f>
        <v>45020</v>
      </c>
      <c r="G157" s="9" t="str">
        <f>VLOOKUP($A$3,'лист 2'!$A$3:$D$267,4,0)</f>
        <v>вебинар</v>
      </c>
      <c r="H157" s="2">
        <f>VLOOKUP($E157,'лист 3'!$A$3:$B$7,2,0)</f>
        <v>600</v>
      </c>
      <c r="I157" s="10">
        <f>VLOOKUP($G157,'лист 3'!$E$3:$F$5,2,0)</f>
        <v>0.1</v>
      </c>
      <c r="J157" s="3">
        <f t="shared" si="2"/>
        <v>540</v>
      </c>
    </row>
    <row r="158" spans="1:10" x14ac:dyDescent="0.3">
      <c r="A158" s="2">
        <v>1194</v>
      </c>
      <c r="B158" t="s">
        <v>179</v>
      </c>
      <c r="C158" s="8">
        <v>21769</v>
      </c>
      <c r="D158" s="2" t="s">
        <v>81</v>
      </c>
      <c r="E158" s="2" t="str">
        <f>VLOOKUP(A158,'лист 2'!$A$3:$D$267,2,0)</f>
        <v>Power BI</v>
      </c>
      <c r="F158" s="9">
        <f>VLOOKUP($A$3,'лист 2'!$A$3:$D$267,3,0)</f>
        <v>45020</v>
      </c>
      <c r="G158" s="9" t="str">
        <f>VLOOKUP($A$3,'лист 2'!$A$3:$D$267,4,0)</f>
        <v>вебинар</v>
      </c>
      <c r="H158" s="2">
        <f>VLOOKUP($E158,'лист 3'!$A$3:$B$7,2,0)</f>
        <v>600</v>
      </c>
      <c r="I158" s="10">
        <f>VLOOKUP($G158,'лист 3'!$E$3:$F$5,2,0)</f>
        <v>0.1</v>
      </c>
      <c r="J158" s="3">
        <f t="shared" si="2"/>
        <v>540</v>
      </c>
    </row>
    <row r="159" spans="1:10" x14ac:dyDescent="0.3">
      <c r="A159" s="2">
        <v>1214</v>
      </c>
      <c r="B159" t="s">
        <v>123</v>
      </c>
      <c r="C159" s="8">
        <v>33021</v>
      </c>
      <c r="D159" s="2" t="s">
        <v>72</v>
      </c>
      <c r="E159" s="2" t="str">
        <f>VLOOKUP(A159,'лист 2'!$A$3:$D$267,2,0)</f>
        <v>Power BI</v>
      </c>
      <c r="F159" s="9">
        <f>VLOOKUP($A$3,'лист 2'!$A$3:$D$267,3,0)</f>
        <v>45020</v>
      </c>
      <c r="G159" s="9" t="str">
        <f>VLOOKUP($A$3,'лист 2'!$A$3:$D$267,4,0)</f>
        <v>вебинар</v>
      </c>
      <c r="H159" s="2">
        <f>VLOOKUP($E159,'лист 3'!$A$3:$B$7,2,0)</f>
        <v>600</v>
      </c>
      <c r="I159" s="10">
        <f>VLOOKUP($G159,'лист 3'!$E$3:$F$5,2,0)</f>
        <v>0.1</v>
      </c>
      <c r="J159" s="3">
        <f t="shared" si="2"/>
        <v>540</v>
      </c>
    </row>
    <row r="160" spans="1:10" x14ac:dyDescent="0.3">
      <c r="A160" s="2">
        <v>1289</v>
      </c>
      <c r="B160" t="s">
        <v>137</v>
      </c>
      <c r="C160" s="8">
        <v>36030</v>
      </c>
      <c r="D160" s="2" t="s">
        <v>79</v>
      </c>
      <c r="E160" s="2" t="str">
        <f>VLOOKUP(A160,'лист 2'!$A$3:$D$267,2,0)</f>
        <v>Power BI</v>
      </c>
      <c r="F160" s="9">
        <f>VLOOKUP($A$3,'лист 2'!$A$3:$D$267,3,0)</f>
        <v>45020</v>
      </c>
      <c r="G160" s="9" t="str">
        <f>VLOOKUP($A$3,'лист 2'!$A$3:$D$267,4,0)</f>
        <v>вебинар</v>
      </c>
      <c r="H160" s="2">
        <f>VLOOKUP($E160,'лист 3'!$A$3:$B$7,2,0)</f>
        <v>600</v>
      </c>
      <c r="I160" s="10">
        <f>VLOOKUP($G160,'лист 3'!$E$3:$F$5,2,0)</f>
        <v>0.1</v>
      </c>
      <c r="J160" s="3">
        <f t="shared" si="2"/>
        <v>540</v>
      </c>
    </row>
    <row r="161" spans="1:10" x14ac:dyDescent="0.3">
      <c r="A161" s="2">
        <v>1219</v>
      </c>
      <c r="B161" t="s">
        <v>180</v>
      </c>
      <c r="C161" s="8">
        <v>22868</v>
      </c>
      <c r="D161" s="2" t="s">
        <v>81</v>
      </c>
      <c r="E161" s="2" t="str">
        <f>VLOOKUP(A161,'лист 2'!$A$3:$D$267,2,0)</f>
        <v>Power BI</v>
      </c>
      <c r="F161" s="9">
        <f>VLOOKUP($A$3,'лист 2'!$A$3:$D$267,3,0)</f>
        <v>45020</v>
      </c>
      <c r="G161" s="9" t="str">
        <f>VLOOKUP($A$3,'лист 2'!$A$3:$D$267,4,0)</f>
        <v>вебинар</v>
      </c>
      <c r="H161" s="2">
        <f>VLOOKUP($E161,'лист 3'!$A$3:$B$7,2,0)</f>
        <v>600</v>
      </c>
      <c r="I161" s="10">
        <f>VLOOKUP($G161,'лист 3'!$E$3:$F$5,2,0)</f>
        <v>0.1</v>
      </c>
      <c r="J161" s="3">
        <f t="shared" si="2"/>
        <v>540</v>
      </c>
    </row>
    <row r="162" spans="1:10" x14ac:dyDescent="0.3">
      <c r="A162" s="2">
        <v>1294</v>
      </c>
      <c r="B162" t="s">
        <v>178</v>
      </c>
      <c r="C162" s="8">
        <v>30152</v>
      </c>
      <c r="D162" s="2" t="s">
        <v>19</v>
      </c>
      <c r="E162" s="2" t="str">
        <f>VLOOKUP(A162,'лист 2'!$A$3:$D$267,2,0)</f>
        <v>Power BI</v>
      </c>
      <c r="F162" s="9">
        <f>VLOOKUP($A$3,'лист 2'!$A$3:$D$267,3,0)</f>
        <v>45020</v>
      </c>
      <c r="G162" s="9" t="str">
        <f>VLOOKUP($A$3,'лист 2'!$A$3:$D$267,4,0)</f>
        <v>вебинар</v>
      </c>
      <c r="H162" s="2">
        <f>VLOOKUP($E162,'лист 3'!$A$3:$B$7,2,0)</f>
        <v>600</v>
      </c>
      <c r="I162" s="10">
        <f>VLOOKUP($G162,'лист 3'!$E$3:$F$5,2,0)</f>
        <v>0.1</v>
      </c>
      <c r="J162" s="3">
        <f t="shared" si="2"/>
        <v>540</v>
      </c>
    </row>
    <row r="163" spans="1:10" x14ac:dyDescent="0.3">
      <c r="A163" s="2">
        <v>1556</v>
      </c>
      <c r="B163" t="s">
        <v>101</v>
      </c>
      <c r="C163" s="8">
        <v>37167</v>
      </c>
      <c r="D163" s="2" t="s">
        <v>22</v>
      </c>
      <c r="E163" s="2" t="str">
        <f>VLOOKUP(A163,'лист 2'!$A$3:$D$267,2,0)</f>
        <v>Power BI</v>
      </c>
      <c r="F163" s="9">
        <f>VLOOKUP($A$3,'лист 2'!$A$3:$D$267,3,0)</f>
        <v>45020</v>
      </c>
      <c r="G163" s="9" t="str">
        <f>VLOOKUP($A$3,'лист 2'!$A$3:$D$267,4,0)</f>
        <v>вебинар</v>
      </c>
      <c r="H163" s="2">
        <f>VLOOKUP($E163,'лист 3'!$A$3:$B$7,2,0)</f>
        <v>600</v>
      </c>
      <c r="I163" s="10">
        <f>VLOOKUP($G163,'лист 3'!$E$3:$F$5,2,0)</f>
        <v>0.1</v>
      </c>
      <c r="J163" s="3">
        <f t="shared" si="2"/>
        <v>540</v>
      </c>
    </row>
    <row r="164" spans="1:10" x14ac:dyDescent="0.3">
      <c r="A164" s="2">
        <v>1309</v>
      </c>
      <c r="B164" t="s">
        <v>181</v>
      </c>
      <c r="C164" s="8">
        <v>22304</v>
      </c>
      <c r="D164" s="2" t="s">
        <v>19</v>
      </c>
      <c r="E164" s="2" t="str">
        <f>VLOOKUP(A164,'лист 2'!$A$3:$D$267,2,0)</f>
        <v>Power BI</v>
      </c>
      <c r="F164" s="9">
        <f>VLOOKUP($A$3,'лист 2'!$A$3:$D$267,3,0)</f>
        <v>45020</v>
      </c>
      <c r="G164" s="9" t="str">
        <f>VLOOKUP($A$3,'лист 2'!$A$3:$D$267,4,0)</f>
        <v>вебинар</v>
      </c>
      <c r="H164" s="2">
        <f>VLOOKUP($E164,'лист 3'!$A$3:$B$7,2,0)</f>
        <v>600</v>
      </c>
      <c r="I164" s="10">
        <f>VLOOKUP($G164,'лист 3'!$E$3:$F$5,2,0)</f>
        <v>0.1</v>
      </c>
      <c r="J164" s="3">
        <f t="shared" si="2"/>
        <v>540</v>
      </c>
    </row>
    <row r="165" spans="1:10" x14ac:dyDescent="0.3">
      <c r="A165" s="2">
        <v>1299</v>
      </c>
      <c r="B165" t="s">
        <v>182</v>
      </c>
      <c r="C165" s="8">
        <v>32931</v>
      </c>
      <c r="D165" s="2" t="s">
        <v>12</v>
      </c>
      <c r="E165" s="2" t="str">
        <f>VLOOKUP(A165,'лист 2'!$A$3:$D$267,2,0)</f>
        <v>Power BI</v>
      </c>
      <c r="F165" s="9">
        <f>VLOOKUP($A$3,'лист 2'!$A$3:$D$267,3,0)</f>
        <v>45020</v>
      </c>
      <c r="G165" s="9" t="str">
        <f>VLOOKUP($A$3,'лист 2'!$A$3:$D$267,4,0)</f>
        <v>вебинар</v>
      </c>
      <c r="H165" s="2">
        <f>VLOOKUP($E165,'лист 3'!$A$3:$B$7,2,0)</f>
        <v>600</v>
      </c>
      <c r="I165" s="10">
        <f>VLOOKUP($G165,'лист 3'!$E$3:$F$5,2,0)</f>
        <v>0.1</v>
      </c>
      <c r="J165" s="3">
        <f t="shared" si="2"/>
        <v>540</v>
      </c>
    </row>
    <row r="166" spans="1:10" x14ac:dyDescent="0.3">
      <c r="A166" s="2">
        <v>1319</v>
      </c>
      <c r="B166" t="s">
        <v>183</v>
      </c>
      <c r="C166" s="8">
        <v>28563</v>
      </c>
      <c r="D166" s="2" t="s">
        <v>81</v>
      </c>
      <c r="E166" s="2" t="str">
        <f>VLOOKUP(A166,'лист 2'!$A$3:$D$267,2,0)</f>
        <v>Power BI</v>
      </c>
      <c r="F166" s="9">
        <f>VLOOKUP($A$3,'лист 2'!$A$3:$D$267,3,0)</f>
        <v>45020</v>
      </c>
      <c r="G166" s="9" t="str">
        <f>VLOOKUP($A$3,'лист 2'!$A$3:$D$267,4,0)</f>
        <v>вебинар</v>
      </c>
      <c r="H166" s="2">
        <f>VLOOKUP($E166,'лист 3'!$A$3:$B$7,2,0)</f>
        <v>600</v>
      </c>
      <c r="I166" s="10">
        <f>VLOOKUP($G166,'лист 3'!$E$3:$F$5,2,0)</f>
        <v>0.1</v>
      </c>
      <c r="J166" s="3">
        <f t="shared" si="2"/>
        <v>540</v>
      </c>
    </row>
    <row r="167" spans="1:10" x14ac:dyDescent="0.3">
      <c r="A167" s="2">
        <v>1561</v>
      </c>
      <c r="B167" t="s">
        <v>77</v>
      </c>
      <c r="C167" s="8">
        <v>34837</v>
      </c>
      <c r="D167" s="2" t="s">
        <v>19</v>
      </c>
      <c r="E167" s="2" t="str">
        <f>VLOOKUP(A167,'лист 2'!$A$3:$D$267,2,0)</f>
        <v>Power BI</v>
      </c>
      <c r="F167" s="9">
        <f>VLOOKUP($A$3,'лист 2'!$A$3:$D$267,3,0)</f>
        <v>45020</v>
      </c>
      <c r="G167" s="9" t="str">
        <f>VLOOKUP($A$3,'лист 2'!$A$3:$D$267,4,0)</f>
        <v>вебинар</v>
      </c>
      <c r="H167" s="2">
        <f>VLOOKUP($E167,'лист 3'!$A$3:$B$7,2,0)</f>
        <v>600</v>
      </c>
      <c r="I167" s="10">
        <f>VLOOKUP($G167,'лист 3'!$E$3:$F$5,2,0)</f>
        <v>0.1</v>
      </c>
      <c r="J167" s="3">
        <f t="shared" si="2"/>
        <v>540</v>
      </c>
    </row>
    <row r="168" spans="1:10" x14ac:dyDescent="0.3">
      <c r="A168" s="2">
        <v>1462</v>
      </c>
      <c r="B168" t="s">
        <v>184</v>
      </c>
      <c r="C168" s="8">
        <v>26316</v>
      </c>
      <c r="D168" s="2" t="s">
        <v>12</v>
      </c>
      <c r="E168" s="2" t="str">
        <f>VLOOKUP(A168,'лист 2'!$A$3:$D$267,2,0)</f>
        <v>Power BI</v>
      </c>
      <c r="F168" s="9">
        <f>VLOOKUP($A$3,'лист 2'!$A$3:$D$267,3,0)</f>
        <v>45020</v>
      </c>
      <c r="G168" s="9" t="str">
        <f>VLOOKUP($A$3,'лист 2'!$A$3:$D$267,4,0)</f>
        <v>вебинар</v>
      </c>
      <c r="H168" s="2">
        <f>VLOOKUP($E168,'лист 3'!$A$3:$B$7,2,0)</f>
        <v>600</v>
      </c>
      <c r="I168" s="10">
        <f>VLOOKUP($G168,'лист 3'!$E$3:$F$5,2,0)</f>
        <v>0.1</v>
      </c>
      <c r="J168" s="3">
        <f t="shared" si="2"/>
        <v>540</v>
      </c>
    </row>
    <row r="169" spans="1:10" x14ac:dyDescent="0.3">
      <c r="A169" s="2">
        <v>1400</v>
      </c>
      <c r="B169" t="s">
        <v>185</v>
      </c>
      <c r="C169" s="8">
        <v>30012</v>
      </c>
      <c r="D169" s="2" t="s">
        <v>19</v>
      </c>
      <c r="E169" s="2" t="str">
        <f>VLOOKUP(A169,'лист 2'!$A$3:$D$267,2,0)</f>
        <v>Power BI</v>
      </c>
      <c r="F169" s="9">
        <f>VLOOKUP($A$3,'лист 2'!$A$3:$D$267,3,0)</f>
        <v>45020</v>
      </c>
      <c r="G169" s="9" t="str">
        <f>VLOOKUP($A$3,'лист 2'!$A$3:$D$267,4,0)</f>
        <v>вебинар</v>
      </c>
      <c r="H169" s="2">
        <f>VLOOKUP($E169,'лист 3'!$A$3:$B$7,2,0)</f>
        <v>600</v>
      </c>
      <c r="I169" s="10">
        <f>VLOOKUP($G169,'лист 3'!$E$3:$F$5,2,0)</f>
        <v>0.1</v>
      </c>
      <c r="J169" s="3">
        <f t="shared" si="2"/>
        <v>540</v>
      </c>
    </row>
    <row r="170" spans="1:10" x14ac:dyDescent="0.3">
      <c r="A170" s="2">
        <v>1199</v>
      </c>
      <c r="B170" t="s">
        <v>186</v>
      </c>
      <c r="C170" s="8">
        <v>31314</v>
      </c>
      <c r="D170" s="2" t="s">
        <v>19</v>
      </c>
      <c r="E170" s="2" t="str">
        <f>VLOOKUP(A170,'лист 2'!$A$3:$D$267,2,0)</f>
        <v>Power BI</v>
      </c>
      <c r="F170" s="9">
        <f>VLOOKUP($A$3,'лист 2'!$A$3:$D$267,3,0)</f>
        <v>45020</v>
      </c>
      <c r="G170" s="9" t="str">
        <f>VLOOKUP($A$3,'лист 2'!$A$3:$D$267,4,0)</f>
        <v>вебинар</v>
      </c>
      <c r="H170" s="2">
        <f>VLOOKUP($E170,'лист 3'!$A$3:$B$7,2,0)</f>
        <v>600</v>
      </c>
      <c r="I170" s="10">
        <f>VLOOKUP($G170,'лист 3'!$E$3:$F$5,2,0)</f>
        <v>0.1</v>
      </c>
      <c r="J170" s="3">
        <f t="shared" si="2"/>
        <v>540</v>
      </c>
    </row>
    <row r="171" spans="1:10" x14ac:dyDescent="0.3">
      <c r="A171" s="2">
        <v>1371</v>
      </c>
      <c r="B171" t="s">
        <v>187</v>
      </c>
      <c r="C171" s="8">
        <v>33776</v>
      </c>
      <c r="D171" s="2" t="s">
        <v>81</v>
      </c>
      <c r="E171" s="2" t="str">
        <f>VLOOKUP(A171,'лист 2'!$A$3:$D$267,2,0)</f>
        <v>Power BI</v>
      </c>
      <c r="F171" s="9">
        <f>VLOOKUP($A$3,'лист 2'!$A$3:$D$267,3,0)</f>
        <v>45020</v>
      </c>
      <c r="G171" s="9" t="str">
        <f>VLOOKUP($A$3,'лист 2'!$A$3:$D$267,4,0)</f>
        <v>вебинар</v>
      </c>
      <c r="H171" s="2">
        <f>VLOOKUP($E171,'лист 3'!$A$3:$B$7,2,0)</f>
        <v>600</v>
      </c>
      <c r="I171" s="10">
        <f>VLOOKUP($G171,'лист 3'!$E$3:$F$5,2,0)</f>
        <v>0.1</v>
      </c>
      <c r="J171" s="3">
        <f t="shared" si="2"/>
        <v>540</v>
      </c>
    </row>
    <row r="172" spans="1:10" x14ac:dyDescent="0.3">
      <c r="A172" s="2">
        <v>1428</v>
      </c>
      <c r="B172" t="s">
        <v>188</v>
      </c>
      <c r="C172" s="8">
        <v>32480</v>
      </c>
      <c r="D172" s="2" t="s">
        <v>22</v>
      </c>
      <c r="E172" s="2" t="str">
        <f>VLOOKUP(A172,'лист 2'!$A$3:$D$267,2,0)</f>
        <v>Power BI</v>
      </c>
      <c r="F172" s="9">
        <f>VLOOKUP($A$3,'лист 2'!$A$3:$D$267,3,0)</f>
        <v>45020</v>
      </c>
      <c r="G172" s="9" t="str">
        <f>VLOOKUP($A$3,'лист 2'!$A$3:$D$267,4,0)</f>
        <v>вебинар</v>
      </c>
      <c r="H172" s="2">
        <f>VLOOKUP($E172,'лист 3'!$A$3:$B$7,2,0)</f>
        <v>600</v>
      </c>
      <c r="I172" s="10">
        <f>VLOOKUP($G172,'лист 3'!$E$3:$F$5,2,0)</f>
        <v>0.1</v>
      </c>
      <c r="J172" s="3">
        <f t="shared" si="2"/>
        <v>540</v>
      </c>
    </row>
    <row r="173" spans="1:10" x14ac:dyDescent="0.3">
      <c r="A173" s="2">
        <v>1566</v>
      </c>
      <c r="B173" t="s">
        <v>189</v>
      </c>
      <c r="C173" s="8">
        <v>25808</v>
      </c>
      <c r="D173" s="2" t="s">
        <v>19</v>
      </c>
      <c r="E173" s="2" t="str">
        <f>VLOOKUP(A173,'лист 2'!$A$3:$D$267,2,0)</f>
        <v>Power BI</v>
      </c>
      <c r="F173" s="9">
        <f>VLOOKUP($A$3,'лист 2'!$A$3:$D$267,3,0)</f>
        <v>45020</v>
      </c>
      <c r="G173" s="9" t="str">
        <f>VLOOKUP($A$3,'лист 2'!$A$3:$D$267,4,0)</f>
        <v>вебинар</v>
      </c>
      <c r="H173" s="2">
        <f>VLOOKUP($E173,'лист 3'!$A$3:$B$7,2,0)</f>
        <v>600</v>
      </c>
      <c r="I173" s="10">
        <f>VLOOKUP($G173,'лист 3'!$E$3:$F$5,2,0)</f>
        <v>0.1</v>
      </c>
      <c r="J173" s="3">
        <f t="shared" si="2"/>
        <v>540</v>
      </c>
    </row>
    <row r="174" spans="1:10" x14ac:dyDescent="0.3">
      <c r="A174" s="2">
        <v>1446</v>
      </c>
      <c r="B174" t="s">
        <v>190</v>
      </c>
      <c r="C174" s="8">
        <v>35117</v>
      </c>
      <c r="D174" s="2" t="s">
        <v>19</v>
      </c>
      <c r="E174" s="2" t="str">
        <f>VLOOKUP(A174,'лист 2'!$A$3:$D$267,2,0)</f>
        <v>Power BI</v>
      </c>
      <c r="F174" s="9">
        <f>VLOOKUP($A$3,'лист 2'!$A$3:$D$267,3,0)</f>
        <v>45020</v>
      </c>
      <c r="G174" s="9" t="str">
        <f>VLOOKUP($A$3,'лист 2'!$A$3:$D$267,4,0)</f>
        <v>вебинар</v>
      </c>
      <c r="H174" s="2">
        <f>VLOOKUP($E174,'лист 3'!$A$3:$B$7,2,0)</f>
        <v>600</v>
      </c>
      <c r="I174" s="10">
        <f>VLOOKUP($G174,'лист 3'!$E$3:$F$5,2,0)</f>
        <v>0.1</v>
      </c>
      <c r="J174" s="3">
        <f t="shared" si="2"/>
        <v>540</v>
      </c>
    </row>
    <row r="175" spans="1:10" x14ac:dyDescent="0.3">
      <c r="A175" s="2">
        <v>1429</v>
      </c>
      <c r="B175" t="s">
        <v>191</v>
      </c>
      <c r="C175" s="8">
        <v>32665</v>
      </c>
      <c r="D175" s="2" t="s">
        <v>22</v>
      </c>
      <c r="E175" s="2" t="str">
        <f>VLOOKUP(A175,'лист 2'!$A$3:$D$267,2,0)</f>
        <v>Power BI</v>
      </c>
      <c r="F175" s="9">
        <f>VLOOKUP($A$3,'лист 2'!$A$3:$D$267,3,0)</f>
        <v>45020</v>
      </c>
      <c r="G175" s="9" t="str">
        <f>VLOOKUP($A$3,'лист 2'!$A$3:$D$267,4,0)</f>
        <v>вебинар</v>
      </c>
      <c r="H175" s="2">
        <f>VLOOKUP($E175,'лист 3'!$A$3:$B$7,2,0)</f>
        <v>600</v>
      </c>
      <c r="I175" s="10">
        <f>VLOOKUP($G175,'лист 3'!$E$3:$F$5,2,0)</f>
        <v>0.1</v>
      </c>
      <c r="J175" s="3">
        <f t="shared" si="2"/>
        <v>540</v>
      </c>
    </row>
    <row r="176" spans="1:10" x14ac:dyDescent="0.3">
      <c r="A176" s="2">
        <v>1447</v>
      </c>
      <c r="B176" t="s">
        <v>192</v>
      </c>
      <c r="C176" s="8">
        <v>29815</v>
      </c>
      <c r="D176" s="2" t="s">
        <v>19</v>
      </c>
      <c r="E176" s="2" t="str">
        <f>VLOOKUP(A176,'лист 2'!$A$3:$D$267,2,0)</f>
        <v>Power BI</v>
      </c>
      <c r="F176" s="9">
        <f>VLOOKUP($A$3,'лист 2'!$A$3:$D$267,3,0)</f>
        <v>45020</v>
      </c>
      <c r="G176" s="9" t="str">
        <f>VLOOKUP($A$3,'лист 2'!$A$3:$D$267,4,0)</f>
        <v>вебинар</v>
      </c>
      <c r="H176" s="2">
        <f>VLOOKUP($E176,'лист 3'!$A$3:$B$7,2,0)</f>
        <v>600</v>
      </c>
      <c r="I176" s="10">
        <f>VLOOKUP($G176,'лист 3'!$E$3:$F$5,2,0)</f>
        <v>0.1</v>
      </c>
      <c r="J176" s="3">
        <f t="shared" si="2"/>
        <v>540</v>
      </c>
    </row>
    <row r="177" spans="1:10" x14ac:dyDescent="0.3">
      <c r="A177" s="2">
        <v>1375</v>
      </c>
      <c r="B177" t="s">
        <v>193</v>
      </c>
      <c r="C177" s="8">
        <v>29830</v>
      </c>
      <c r="D177" s="2" t="s">
        <v>22</v>
      </c>
      <c r="E177" s="2" t="str">
        <f>VLOOKUP(A177,'лист 2'!$A$3:$D$267,2,0)</f>
        <v>Power BI</v>
      </c>
      <c r="F177" s="9">
        <f>VLOOKUP($A$3,'лист 2'!$A$3:$D$267,3,0)</f>
        <v>45020</v>
      </c>
      <c r="G177" s="9" t="str">
        <f>VLOOKUP($A$3,'лист 2'!$A$3:$D$267,4,0)</f>
        <v>вебинар</v>
      </c>
      <c r="H177" s="2">
        <f>VLOOKUP($E177,'лист 3'!$A$3:$B$7,2,0)</f>
        <v>600</v>
      </c>
      <c r="I177" s="10">
        <f>VLOOKUP($G177,'лист 3'!$E$3:$F$5,2,0)</f>
        <v>0.1</v>
      </c>
      <c r="J177" s="3">
        <f t="shared" si="2"/>
        <v>540</v>
      </c>
    </row>
    <row r="178" spans="1:10" x14ac:dyDescent="0.3">
      <c r="A178" s="2">
        <v>1376</v>
      </c>
      <c r="B178" t="s">
        <v>194</v>
      </c>
      <c r="C178" s="8">
        <v>35534</v>
      </c>
      <c r="D178" s="2" t="s">
        <v>72</v>
      </c>
      <c r="E178" s="2" t="str">
        <f>VLOOKUP(A178,'лист 2'!$A$3:$D$267,2,0)</f>
        <v>Power BI</v>
      </c>
      <c r="F178" s="9">
        <f>VLOOKUP($A$3,'лист 2'!$A$3:$D$267,3,0)</f>
        <v>45020</v>
      </c>
      <c r="G178" s="9" t="str">
        <f>VLOOKUP($A$3,'лист 2'!$A$3:$D$267,4,0)</f>
        <v>вебинар</v>
      </c>
      <c r="H178" s="2">
        <f>VLOOKUP($E178,'лист 3'!$A$3:$B$7,2,0)</f>
        <v>600</v>
      </c>
      <c r="I178" s="10">
        <f>VLOOKUP($G178,'лист 3'!$E$3:$F$5,2,0)</f>
        <v>0.1</v>
      </c>
      <c r="J178" s="3">
        <f t="shared" si="2"/>
        <v>540</v>
      </c>
    </row>
    <row r="179" spans="1:10" x14ac:dyDescent="0.3">
      <c r="A179" s="2">
        <v>1466</v>
      </c>
      <c r="B179" t="s">
        <v>195</v>
      </c>
      <c r="C179" s="8">
        <v>27391</v>
      </c>
      <c r="D179" s="2" t="s">
        <v>19</v>
      </c>
      <c r="E179" s="2" t="str">
        <f>VLOOKUP(A179,'лист 2'!$A$3:$D$267,2,0)</f>
        <v>Power BI</v>
      </c>
      <c r="F179" s="9">
        <f>VLOOKUP($A$3,'лист 2'!$A$3:$D$267,3,0)</f>
        <v>45020</v>
      </c>
      <c r="G179" s="9" t="str">
        <f>VLOOKUP($A$3,'лист 2'!$A$3:$D$267,4,0)</f>
        <v>вебинар</v>
      </c>
      <c r="H179" s="2">
        <f>VLOOKUP($E179,'лист 3'!$A$3:$B$7,2,0)</f>
        <v>600</v>
      </c>
      <c r="I179" s="10">
        <f>VLOOKUP($G179,'лист 3'!$E$3:$F$5,2,0)</f>
        <v>0.1</v>
      </c>
      <c r="J179" s="3">
        <f t="shared" si="2"/>
        <v>540</v>
      </c>
    </row>
    <row r="180" spans="1:10" x14ac:dyDescent="0.3">
      <c r="A180" s="2">
        <v>1380</v>
      </c>
      <c r="B180" t="s">
        <v>26</v>
      </c>
      <c r="C180" s="8">
        <v>30333</v>
      </c>
      <c r="D180" s="2" t="s">
        <v>22</v>
      </c>
      <c r="E180" s="2" t="str">
        <f>VLOOKUP(A180,'лист 2'!$A$3:$D$267,2,0)</f>
        <v>Power BI</v>
      </c>
      <c r="F180" s="9">
        <f>VLOOKUP($A$3,'лист 2'!$A$3:$D$267,3,0)</f>
        <v>45020</v>
      </c>
      <c r="G180" s="9" t="str">
        <f>VLOOKUP($A$3,'лист 2'!$A$3:$D$267,4,0)</f>
        <v>вебинар</v>
      </c>
      <c r="H180" s="2">
        <f>VLOOKUP($E180,'лист 3'!$A$3:$B$7,2,0)</f>
        <v>600</v>
      </c>
      <c r="I180" s="10">
        <f>VLOOKUP($G180,'лист 3'!$E$3:$F$5,2,0)</f>
        <v>0.1</v>
      </c>
      <c r="J180" s="3">
        <f t="shared" si="2"/>
        <v>540</v>
      </c>
    </row>
    <row r="181" spans="1:10" x14ac:dyDescent="0.3">
      <c r="A181" s="2">
        <v>1570</v>
      </c>
      <c r="B181" t="s">
        <v>196</v>
      </c>
      <c r="C181" s="8">
        <v>35395</v>
      </c>
      <c r="D181" s="2" t="s">
        <v>19</v>
      </c>
      <c r="E181" s="2" t="str">
        <f>VLOOKUP(A181,'лист 2'!$A$3:$D$267,2,0)</f>
        <v>Power BI</v>
      </c>
      <c r="F181" s="9">
        <f>VLOOKUP($A$3,'лист 2'!$A$3:$D$267,3,0)</f>
        <v>45020</v>
      </c>
      <c r="G181" s="9" t="str">
        <f>VLOOKUP($A$3,'лист 2'!$A$3:$D$267,4,0)</f>
        <v>вебинар</v>
      </c>
      <c r="H181" s="2">
        <f>VLOOKUP($E181,'лист 3'!$A$3:$B$7,2,0)</f>
        <v>600</v>
      </c>
      <c r="I181" s="10">
        <f>VLOOKUP($G181,'лист 3'!$E$3:$F$5,2,0)</f>
        <v>0.1</v>
      </c>
      <c r="J181" s="3">
        <f t="shared" si="2"/>
        <v>540</v>
      </c>
    </row>
    <row r="182" spans="1:10" x14ac:dyDescent="0.3">
      <c r="A182" s="2">
        <v>1433</v>
      </c>
      <c r="B182" t="s">
        <v>171</v>
      </c>
      <c r="C182" s="8">
        <v>37473</v>
      </c>
      <c r="D182" s="2" t="s">
        <v>22</v>
      </c>
      <c r="E182" s="2" t="str">
        <f>VLOOKUP(A182,'лист 2'!$A$3:$D$267,2,0)</f>
        <v>Power BI</v>
      </c>
      <c r="F182" s="9">
        <f>VLOOKUP($A$3,'лист 2'!$A$3:$D$267,3,0)</f>
        <v>45020</v>
      </c>
      <c r="G182" s="9" t="str">
        <f>VLOOKUP($A$3,'лист 2'!$A$3:$D$267,4,0)</f>
        <v>вебинар</v>
      </c>
      <c r="H182" s="2">
        <f>VLOOKUP($E182,'лист 3'!$A$3:$B$7,2,0)</f>
        <v>600</v>
      </c>
      <c r="I182" s="10">
        <f>VLOOKUP($G182,'лист 3'!$E$3:$F$5,2,0)</f>
        <v>0.1</v>
      </c>
      <c r="J182" s="3">
        <f t="shared" si="2"/>
        <v>540</v>
      </c>
    </row>
    <row r="183" spans="1:10" x14ac:dyDescent="0.3">
      <c r="A183" s="2">
        <v>1451</v>
      </c>
      <c r="B183" t="s">
        <v>197</v>
      </c>
      <c r="C183" s="8">
        <v>38356</v>
      </c>
      <c r="D183" s="2" t="s">
        <v>19</v>
      </c>
      <c r="E183" s="2" t="str">
        <f>VLOOKUP(A183,'лист 2'!$A$3:$D$267,2,0)</f>
        <v>Power BI</v>
      </c>
      <c r="F183" s="9">
        <f>VLOOKUP($A$3,'лист 2'!$A$3:$D$267,3,0)</f>
        <v>45020</v>
      </c>
      <c r="G183" s="9" t="str">
        <f>VLOOKUP($A$3,'лист 2'!$A$3:$D$267,4,0)</f>
        <v>вебинар</v>
      </c>
      <c r="H183" s="2">
        <f>VLOOKUP($E183,'лист 3'!$A$3:$B$7,2,0)</f>
        <v>600</v>
      </c>
      <c r="I183" s="10">
        <f>VLOOKUP($G183,'лист 3'!$E$3:$F$5,2,0)</f>
        <v>0.1</v>
      </c>
      <c r="J183" s="3">
        <f t="shared" si="2"/>
        <v>540</v>
      </c>
    </row>
    <row r="184" spans="1:10" x14ac:dyDescent="0.3">
      <c r="A184" s="2">
        <v>1385</v>
      </c>
      <c r="B184" t="s">
        <v>198</v>
      </c>
      <c r="C184" s="8">
        <v>34565</v>
      </c>
      <c r="D184" s="2" t="s">
        <v>22</v>
      </c>
      <c r="E184" s="2" t="str">
        <f>VLOOKUP(A184,'лист 2'!$A$3:$D$267,2,0)</f>
        <v>Power BI</v>
      </c>
      <c r="F184" s="9">
        <f>VLOOKUP($A$3,'лист 2'!$A$3:$D$267,3,0)</f>
        <v>45020</v>
      </c>
      <c r="G184" s="9" t="str">
        <f>VLOOKUP($A$3,'лист 2'!$A$3:$D$267,4,0)</f>
        <v>вебинар</v>
      </c>
      <c r="H184" s="2">
        <f>VLOOKUP($E184,'лист 3'!$A$3:$B$7,2,0)</f>
        <v>600</v>
      </c>
      <c r="I184" s="10">
        <f>VLOOKUP($G184,'лист 3'!$E$3:$F$5,2,0)</f>
        <v>0.1</v>
      </c>
      <c r="J184" s="3">
        <f t="shared" si="2"/>
        <v>540</v>
      </c>
    </row>
    <row r="185" spans="1:10" x14ac:dyDescent="0.3">
      <c r="A185" s="2">
        <v>1390</v>
      </c>
      <c r="B185" t="s">
        <v>199</v>
      </c>
      <c r="C185" s="8">
        <v>33827</v>
      </c>
      <c r="D185" s="2" t="s">
        <v>19</v>
      </c>
      <c r="E185" s="2" t="str">
        <f>VLOOKUP(A185,'лист 2'!$A$3:$D$267,2,0)</f>
        <v>Power BI</v>
      </c>
      <c r="F185" s="9">
        <f>VLOOKUP($A$3,'лист 2'!$A$3:$D$267,3,0)</f>
        <v>45020</v>
      </c>
      <c r="G185" s="9" t="str">
        <f>VLOOKUP($A$3,'лист 2'!$A$3:$D$267,4,0)</f>
        <v>вебинар</v>
      </c>
      <c r="H185" s="2">
        <f>VLOOKUP($E185,'лист 3'!$A$3:$B$7,2,0)</f>
        <v>600</v>
      </c>
      <c r="I185" s="10">
        <f>VLOOKUP($G185,'лист 3'!$E$3:$F$5,2,0)</f>
        <v>0.1</v>
      </c>
      <c r="J185" s="3">
        <f t="shared" si="2"/>
        <v>540</v>
      </c>
    </row>
    <row r="186" spans="1:10" x14ac:dyDescent="0.3">
      <c r="A186" s="2">
        <v>1471</v>
      </c>
      <c r="B186" t="s">
        <v>200</v>
      </c>
      <c r="C186" s="8">
        <v>26274</v>
      </c>
      <c r="D186" s="2" t="s">
        <v>22</v>
      </c>
      <c r="E186" s="2" t="str">
        <f>VLOOKUP(A186,'лист 2'!$A$3:$D$267,2,0)</f>
        <v>Power BI</v>
      </c>
      <c r="F186" s="9">
        <f>VLOOKUP($A$3,'лист 2'!$A$3:$D$267,3,0)</f>
        <v>45020</v>
      </c>
      <c r="G186" s="9" t="str">
        <f>VLOOKUP($A$3,'лист 2'!$A$3:$D$267,4,0)</f>
        <v>вебинар</v>
      </c>
      <c r="H186" s="2">
        <f>VLOOKUP($E186,'лист 3'!$A$3:$B$7,2,0)</f>
        <v>600</v>
      </c>
      <c r="I186" s="10">
        <f>VLOOKUP($G186,'лист 3'!$E$3:$F$5,2,0)</f>
        <v>0.1</v>
      </c>
      <c r="J186" s="3">
        <f t="shared" si="2"/>
        <v>540</v>
      </c>
    </row>
    <row r="187" spans="1:10" x14ac:dyDescent="0.3">
      <c r="A187" s="2">
        <v>1575</v>
      </c>
      <c r="B187" t="s">
        <v>201</v>
      </c>
      <c r="C187" s="8">
        <v>28266</v>
      </c>
      <c r="D187" s="2" t="s">
        <v>19</v>
      </c>
      <c r="E187" s="2" t="str">
        <f>VLOOKUP(A187,'лист 2'!$A$3:$D$267,2,0)</f>
        <v>Power BI</v>
      </c>
      <c r="F187" s="9">
        <f>VLOOKUP($A$3,'лист 2'!$A$3:$D$267,3,0)</f>
        <v>45020</v>
      </c>
      <c r="G187" s="9" t="str">
        <f>VLOOKUP($A$3,'лист 2'!$A$3:$D$267,4,0)</f>
        <v>вебинар</v>
      </c>
      <c r="H187" s="2">
        <f>VLOOKUP($E187,'лист 3'!$A$3:$B$7,2,0)</f>
        <v>600</v>
      </c>
      <c r="I187" s="10">
        <f>VLOOKUP($G187,'лист 3'!$E$3:$F$5,2,0)</f>
        <v>0.1</v>
      </c>
      <c r="J187" s="3">
        <f t="shared" si="2"/>
        <v>540</v>
      </c>
    </row>
    <row r="188" spans="1:10" x14ac:dyDescent="0.3">
      <c r="A188" s="2">
        <v>1438</v>
      </c>
      <c r="B188" t="s">
        <v>202</v>
      </c>
      <c r="C188" s="8">
        <v>32239</v>
      </c>
      <c r="D188" s="2" t="s">
        <v>22</v>
      </c>
      <c r="E188" s="2" t="str">
        <f>VLOOKUP(A188,'лист 2'!$A$3:$D$267,2,0)</f>
        <v>Power BI</v>
      </c>
      <c r="F188" s="9">
        <f>VLOOKUP($A$3,'лист 2'!$A$3:$D$267,3,0)</f>
        <v>45020</v>
      </c>
      <c r="G188" s="9" t="str">
        <f>VLOOKUP($A$3,'лист 2'!$A$3:$D$267,4,0)</f>
        <v>вебинар</v>
      </c>
      <c r="H188" s="2">
        <f>VLOOKUP($E188,'лист 3'!$A$3:$B$7,2,0)</f>
        <v>600</v>
      </c>
      <c r="I188" s="10">
        <f>VLOOKUP($G188,'лист 3'!$E$3:$F$5,2,0)</f>
        <v>0.1</v>
      </c>
      <c r="J188" s="3">
        <f t="shared" si="2"/>
        <v>540</v>
      </c>
    </row>
    <row r="189" spans="1:10" x14ac:dyDescent="0.3">
      <c r="A189" s="2">
        <v>1455</v>
      </c>
      <c r="B189" t="s">
        <v>203</v>
      </c>
      <c r="C189" s="8">
        <v>27106</v>
      </c>
      <c r="D189" s="2" t="s">
        <v>19</v>
      </c>
      <c r="E189" s="2" t="str">
        <f>VLOOKUP(A189,'лист 2'!$A$3:$D$267,2,0)</f>
        <v>Power BI</v>
      </c>
      <c r="F189" s="9">
        <f>VLOOKUP($A$3,'лист 2'!$A$3:$D$267,3,0)</f>
        <v>45020</v>
      </c>
      <c r="G189" s="9" t="str">
        <f>VLOOKUP($A$3,'лист 2'!$A$3:$D$267,4,0)</f>
        <v>вебинар</v>
      </c>
      <c r="H189" s="2">
        <f>VLOOKUP($E189,'лист 3'!$A$3:$B$7,2,0)</f>
        <v>600</v>
      </c>
      <c r="I189" s="10">
        <f>VLOOKUP($G189,'лист 3'!$E$3:$F$5,2,0)</f>
        <v>0.1</v>
      </c>
      <c r="J189" s="3">
        <f t="shared" si="2"/>
        <v>540</v>
      </c>
    </row>
    <row r="190" spans="1:10" x14ac:dyDescent="0.3">
      <c r="A190" s="2">
        <v>1395</v>
      </c>
      <c r="B190" t="s">
        <v>204</v>
      </c>
      <c r="C190" s="8">
        <v>32870</v>
      </c>
      <c r="D190" s="2" t="s">
        <v>19</v>
      </c>
      <c r="E190" s="2" t="str">
        <f>VLOOKUP(A190,'лист 2'!$A$3:$D$267,2,0)</f>
        <v>Power BI</v>
      </c>
      <c r="F190" s="9">
        <f>VLOOKUP($A$3,'лист 2'!$A$3:$D$267,3,0)</f>
        <v>45020</v>
      </c>
      <c r="G190" s="9" t="str">
        <f>VLOOKUP($A$3,'лист 2'!$A$3:$D$267,4,0)</f>
        <v>вебинар</v>
      </c>
      <c r="H190" s="2">
        <f>VLOOKUP($E190,'лист 3'!$A$3:$B$7,2,0)</f>
        <v>600</v>
      </c>
      <c r="I190" s="10">
        <f>VLOOKUP($G190,'лист 3'!$E$3:$F$5,2,0)</f>
        <v>0.1</v>
      </c>
      <c r="J190" s="3">
        <f t="shared" si="2"/>
        <v>540</v>
      </c>
    </row>
    <row r="191" spans="1:10" x14ac:dyDescent="0.3">
      <c r="A191" s="2">
        <v>1456</v>
      </c>
      <c r="B191" t="s">
        <v>205</v>
      </c>
      <c r="C191" s="8">
        <v>26353</v>
      </c>
      <c r="D191" s="2" t="s">
        <v>22</v>
      </c>
      <c r="E191" s="2" t="str">
        <f>VLOOKUP(A191,'лист 2'!$A$3:$D$267,2,0)</f>
        <v>Power BI</v>
      </c>
      <c r="F191" s="9">
        <f>VLOOKUP($A$3,'лист 2'!$A$3:$D$267,3,0)</f>
        <v>45020</v>
      </c>
      <c r="G191" s="9" t="str">
        <f>VLOOKUP($A$3,'лист 2'!$A$3:$D$267,4,0)</f>
        <v>вебинар</v>
      </c>
      <c r="H191" s="2">
        <f>VLOOKUP($E191,'лист 3'!$A$3:$B$7,2,0)</f>
        <v>600</v>
      </c>
      <c r="I191" s="10">
        <f>VLOOKUP($G191,'лист 3'!$E$3:$F$5,2,0)</f>
        <v>0.1</v>
      </c>
      <c r="J191" s="3">
        <f t="shared" si="2"/>
        <v>540</v>
      </c>
    </row>
    <row r="192" spans="1:10" x14ac:dyDescent="0.3">
      <c r="A192" s="2">
        <v>1363</v>
      </c>
      <c r="B192" t="s">
        <v>206</v>
      </c>
      <c r="C192" s="8">
        <v>32821</v>
      </c>
      <c r="D192" s="2" t="s">
        <v>22</v>
      </c>
      <c r="E192" s="2" t="str">
        <f>VLOOKUP(A192,'лист 2'!$A$3:$D$267,2,0)</f>
        <v>Power BI</v>
      </c>
      <c r="F192" s="9">
        <f>VLOOKUP($A$3,'лист 2'!$A$3:$D$267,3,0)</f>
        <v>45020</v>
      </c>
      <c r="G192" s="9" t="str">
        <f>VLOOKUP($A$3,'лист 2'!$A$3:$D$267,4,0)</f>
        <v>вебинар</v>
      </c>
      <c r="H192" s="2">
        <f>VLOOKUP($E192,'лист 3'!$A$3:$B$7,2,0)</f>
        <v>600</v>
      </c>
      <c r="I192" s="10">
        <f>VLOOKUP($G192,'лист 3'!$E$3:$F$5,2,0)</f>
        <v>0.1</v>
      </c>
      <c r="J192" s="3">
        <f t="shared" si="2"/>
        <v>540</v>
      </c>
    </row>
    <row r="193" spans="1:10" x14ac:dyDescent="0.3">
      <c r="A193" s="2">
        <v>1476</v>
      </c>
      <c r="B193" t="s">
        <v>207</v>
      </c>
      <c r="C193" s="8">
        <v>24249</v>
      </c>
      <c r="D193" s="2" t="s">
        <v>19</v>
      </c>
      <c r="E193" s="2" t="str">
        <f>VLOOKUP(A193,'лист 2'!$A$3:$D$267,2,0)</f>
        <v>Power BI</v>
      </c>
      <c r="F193" s="9">
        <f>VLOOKUP($A$3,'лист 2'!$A$3:$D$267,3,0)</f>
        <v>45020</v>
      </c>
      <c r="G193" s="9" t="str">
        <f>VLOOKUP($A$3,'лист 2'!$A$3:$D$267,4,0)</f>
        <v>вебинар</v>
      </c>
      <c r="H193" s="2">
        <f>VLOOKUP($E193,'лист 3'!$A$3:$B$7,2,0)</f>
        <v>600</v>
      </c>
      <c r="I193" s="10">
        <f>VLOOKUP($G193,'лист 3'!$E$3:$F$5,2,0)</f>
        <v>0.1</v>
      </c>
      <c r="J193" s="3">
        <f t="shared" si="2"/>
        <v>540</v>
      </c>
    </row>
    <row r="194" spans="1:10" x14ac:dyDescent="0.3">
      <c r="A194" s="2">
        <v>1404</v>
      </c>
      <c r="B194" t="s">
        <v>208</v>
      </c>
      <c r="C194" s="8">
        <v>29837</v>
      </c>
      <c r="D194" s="2" t="s">
        <v>72</v>
      </c>
      <c r="E194" s="2" t="str">
        <f>VLOOKUP(A194,'лист 2'!$A$3:$D$267,2,0)</f>
        <v>Power BI</v>
      </c>
      <c r="F194" s="9">
        <f>VLOOKUP($A$3,'лист 2'!$A$3:$D$267,3,0)</f>
        <v>45020</v>
      </c>
      <c r="G194" s="9" t="str">
        <f>VLOOKUP($A$3,'лист 2'!$A$3:$D$267,4,0)</f>
        <v>вебинар</v>
      </c>
      <c r="H194" s="2">
        <f>VLOOKUP($E194,'лист 3'!$A$3:$B$7,2,0)</f>
        <v>600</v>
      </c>
      <c r="I194" s="10">
        <f>VLOOKUP($G194,'лист 3'!$E$3:$F$5,2,0)</f>
        <v>0.1</v>
      </c>
      <c r="J194" s="3">
        <f t="shared" si="2"/>
        <v>540</v>
      </c>
    </row>
    <row r="195" spans="1:10" x14ac:dyDescent="0.3">
      <c r="A195" s="2">
        <v>1580</v>
      </c>
      <c r="B195" t="s">
        <v>209</v>
      </c>
      <c r="C195" s="8">
        <v>32155</v>
      </c>
      <c r="D195" s="2" t="s">
        <v>72</v>
      </c>
      <c r="E195" s="2" t="str">
        <f>VLOOKUP(A195,'лист 2'!$A$3:$D$267,2,0)</f>
        <v>Power BI</v>
      </c>
      <c r="F195" s="9">
        <f>VLOOKUP($A$3,'лист 2'!$A$3:$D$267,3,0)</f>
        <v>45020</v>
      </c>
      <c r="G195" s="9" t="str">
        <f>VLOOKUP($A$3,'лист 2'!$A$3:$D$267,4,0)</f>
        <v>вебинар</v>
      </c>
      <c r="H195" s="2">
        <f>VLOOKUP($E195,'лист 3'!$A$3:$B$7,2,0)</f>
        <v>600</v>
      </c>
      <c r="I195" s="10">
        <f>VLOOKUP($G195,'лист 3'!$E$3:$F$5,2,0)</f>
        <v>0.1</v>
      </c>
      <c r="J195" s="3">
        <f t="shared" si="2"/>
        <v>540</v>
      </c>
    </row>
    <row r="196" spans="1:10" x14ac:dyDescent="0.3">
      <c r="A196" s="2">
        <v>1477</v>
      </c>
      <c r="B196" t="s">
        <v>210</v>
      </c>
      <c r="C196" s="8">
        <v>38756</v>
      </c>
      <c r="D196" s="2" t="s">
        <v>22</v>
      </c>
      <c r="E196" s="2" t="str">
        <f>VLOOKUP(A196,'лист 2'!$A$3:$D$267,2,0)</f>
        <v>Python</v>
      </c>
      <c r="F196" s="9">
        <f>VLOOKUP($A$3,'лист 2'!$A$3:$D$267,3,0)</f>
        <v>45020</v>
      </c>
      <c r="G196" s="9" t="str">
        <f>VLOOKUP($A$3,'лист 2'!$A$3:$D$267,4,0)</f>
        <v>вебинар</v>
      </c>
      <c r="H196" s="2">
        <f>VLOOKUP($E196,'лист 3'!$A$3:$B$7,2,0)</f>
        <v>500</v>
      </c>
      <c r="I196" s="10">
        <f>VLOOKUP($G196,'лист 3'!$E$3:$F$5,2,0)</f>
        <v>0.1</v>
      </c>
      <c r="J196" s="3">
        <f t="shared" ref="J196:J259" si="3">H196-H196*I196</f>
        <v>450</v>
      </c>
    </row>
    <row r="197" spans="1:10" x14ac:dyDescent="0.3">
      <c r="A197" s="2">
        <v>1472</v>
      </c>
      <c r="B197" t="s">
        <v>145</v>
      </c>
      <c r="C197" s="8">
        <v>34320</v>
      </c>
      <c r="D197" s="2" t="s">
        <v>22</v>
      </c>
      <c r="E197" s="2" t="str">
        <f>VLOOKUP(A197,'лист 2'!$A$3:$D$267,2,0)</f>
        <v>Python</v>
      </c>
      <c r="F197" s="9">
        <f>VLOOKUP($A$3,'лист 2'!$A$3:$D$267,3,0)</f>
        <v>45020</v>
      </c>
      <c r="G197" s="9" t="str">
        <f>VLOOKUP($A$3,'лист 2'!$A$3:$D$267,4,0)</f>
        <v>вебинар</v>
      </c>
      <c r="H197" s="2">
        <f>VLOOKUP($E197,'лист 3'!$A$3:$B$7,2,0)</f>
        <v>500</v>
      </c>
      <c r="I197" s="10">
        <f>VLOOKUP($G197,'лист 3'!$E$3:$F$5,2,0)</f>
        <v>0.1</v>
      </c>
      <c r="J197" s="3">
        <f t="shared" si="3"/>
        <v>450</v>
      </c>
    </row>
    <row r="198" spans="1:10" x14ac:dyDescent="0.3">
      <c r="A198" s="2">
        <v>1576</v>
      </c>
      <c r="B198" t="s">
        <v>211</v>
      </c>
      <c r="C198" s="8">
        <v>31734</v>
      </c>
      <c r="D198" s="2" t="s">
        <v>22</v>
      </c>
      <c r="E198" s="2" t="str">
        <f>VLOOKUP(A198,'лист 2'!$A$3:$D$267,2,0)</f>
        <v>Python</v>
      </c>
      <c r="F198" s="9">
        <f>VLOOKUP($A$3,'лист 2'!$A$3:$D$267,3,0)</f>
        <v>45020</v>
      </c>
      <c r="G198" s="9" t="str">
        <f>VLOOKUP($A$3,'лист 2'!$A$3:$D$267,4,0)</f>
        <v>вебинар</v>
      </c>
      <c r="H198" s="2">
        <f>VLOOKUP($E198,'лист 3'!$A$3:$B$7,2,0)</f>
        <v>500</v>
      </c>
      <c r="I198" s="10">
        <f>VLOOKUP($G198,'лист 3'!$E$3:$F$5,2,0)</f>
        <v>0.1</v>
      </c>
      <c r="J198" s="3">
        <f t="shared" si="3"/>
        <v>450</v>
      </c>
    </row>
    <row r="199" spans="1:10" x14ac:dyDescent="0.3">
      <c r="A199" s="2">
        <v>1396</v>
      </c>
      <c r="B199" t="s">
        <v>208</v>
      </c>
      <c r="C199" s="8">
        <v>27188</v>
      </c>
      <c r="D199" s="2" t="s">
        <v>19</v>
      </c>
      <c r="E199" s="2" t="str">
        <f>VLOOKUP(A199,'лист 2'!$A$3:$D$267,2,0)</f>
        <v>Python</v>
      </c>
      <c r="F199" s="9">
        <f>VLOOKUP($A$3,'лист 2'!$A$3:$D$267,3,0)</f>
        <v>45020</v>
      </c>
      <c r="G199" s="9" t="str">
        <f>VLOOKUP($A$3,'лист 2'!$A$3:$D$267,4,0)</f>
        <v>вебинар</v>
      </c>
      <c r="H199" s="2">
        <f>VLOOKUP($E199,'лист 3'!$A$3:$B$7,2,0)</f>
        <v>500</v>
      </c>
      <c r="I199" s="10">
        <f>VLOOKUP($G199,'лист 3'!$E$3:$F$5,2,0)</f>
        <v>0.1</v>
      </c>
      <c r="J199" s="3">
        <f t="shared" si="3"/>
        <v>450</v>
      </c>
    </row>
    <row r="200" spans="1:10" x14ac:dyDescent="0.3">
      <c r="A200" s="2">
        <v>1359</v>
      </c>
      <c r="B200" t="s">
        <v>212</v>
      </c>
      <c r="C200" s="8">
        <v>22580</v>
      </c>
      <c r="D200" s="2" t="s">
        <v>22</v>
      </c>
      <c r="E200" s="2" t="str">
        <f>VLOOKUP(A200,'лист 2'!$A$3:$D$267,2,0)</f>
        <v>Python</v>
      </c>
      <c r="F200" s="9">
        <f>VLOOKUP($A$3,'лист 2'!$A$3:$D$267,3,0)</f>
        <v>45020</v>
      </c>
      <c r="G200" s="9" t="str">
        <f>VLOOKUP($A$3,'лист 2'!$A$3:$D$267,4,0)</f>
        <v>вебинар</v>
      </c>
      <c r="H200" s="2">
        <f>VLOOKUP($E200,'лист 3'!$A$3:$B$7,2,0)</f>
        <v>500</v>
      </c>
      <c r="I200" s="10">
        <f>VLOOKUP($G200,'лист 3'!$E$3:$F$5,2,0)</f>
        <v>0.1</v>
      </c>
      <c r="J200" s="3">
        <f t="shared" si="3"/>
        <v>450</v>
      </c>
    </row>
    <row r="201" spans="1:10" x14ac:dyDescent="0.3">
      <c r="A201" s="2">
        <v>1457</v>
      </c>
      <c r="B201" t="s">
        <v>213</v>
      </c>
      <c r="C201" s="8">
        <v>34434</v>
      </c>
      <c r="D201" s="2" t="s">
        <v>19</v>
      </c>
      <c r="E201" s="2" t="str">
        <f>VLOOKUP(A201,'лист 2'!$A$3:$D$267,2,0)</f>
        <v>Python</v>
      </c>
      <c r="F201" s="9">
        <f>VLOOKUP($A$3,'лист 2'!$A$3:$D$267,3,0)</f>
        <v>45020</v>
      </c>
      <c r="G201" s="9" t="str">
        <f>VLOOKUP($A$3,'лист 2'!$A$3:$D$267,4,0)</f>
        <v>вебинар</v>
      </c>
      <c r="H201" s="2">
        <f>VLOOKUP($E201,'лист 3'!$A$3:$B$7,2,0)</f>
        <v>500</v>
      </c>
      <c r="I201" s="10">
        <f>VLOOKUP($G201,'лист 3'!$E$3:$F$5,2,0)</f>
        <v>0.1</v>
      </c>
      <c r="J201" s="3">
        <f t="shared" si="3"/>
        <v>450</v>
      </c>
    </row>
    <row r="202" spans="1:10" x14ac:dyDescent="0.3">
      <c r="A202" s="2">
        <v>1401</v>
      </c>
      <c r="B202" t="s">
        <v>214</v>
      </c>
      <c r="C202" s="8">
        <v>33995</v>
      </c>
      <c r="D202" s="2" t="s">
        <v>22</v>
      </c>
      <c r="E202" s="2" t="str">
        <f>VLOOKUP(A202,'лист 2'!$A$3:$D$267,2,0)</f>
        <v>Python</v>
      </c>
      <c r="F202" s="9">
        <f>VLOOKUP($A$3,'лист 2'!$A$3:$D$267,3,0)</f>
        <v>45020</v>
      </c>
      <c r="G202" s="9" t="str">
        <f>VLOOKUP($A$3,'лист 2'!$A$3:$D$267,4,0)</f>
        <v>вебинар</v>
      </c>
      <c r="H202" s="2">
        <f>VLOOKUP($E202,'лист 3'!$A$3:$B$7,2,0)</f>
        <v>500</v>
      </c>
      <c r="I202" s="10">
        <f>VLOOKUP($G202,'лист 3'!$E$3:$F$5,2,0)</f>
        <v>0.1</v>
      </c>
      <c r="J202" s="3">
        <f t="shared" si="3"/>
        <v>450</v>
      </c>
    </row>
    <row r="203" spans="1:10" x14ac:dyDescent="0.3">
      <c r="A203" s="2">
        <v>1364</v>
      </c>
      <c r="B203" t="s">
        <v>215</v>
      </c>
      <c r="C203" s="8">
        <v>28391</v>
      </c>
      <c r="D203" s="2" t="s">
        <v>19</v>
      </c>
      <c r="E203" s="2" t="str">
        <f>VLOOKUP(A203,'лист 2'!$A$3:$D$267,2,0)</f>
        <v>Python</v>
      </c>
      <c r="F203" s="9">
        <f>VLOOKUP($A$3,'лист 2'!$A$3:$D$267,3,0)</f>
        <v>45020</v>
      </c>
      <c r="G203" s="9" t="str">
        <f>VLOOKUP($A$3,'лист 2'!$A$3:$D$267,4,0)</f>
        <v>вебинар</v>
      </c>
      <c r="H203" s="2">
        <f>VLOOKUP($E203,'лист 3'!$A$3:$B$7,2,0)</f>
        <v>500</v>
      </c>
      <c r="I203" s="10">
        <f>VLOOKUP($G203,'лист 3'!$E$3:$F$5,2,0)</f>
        <v>0.1</v>
      </c>
      <c r="J203" s="3">
        <f t="shared" si="3"/>
        <v>450</v>
      </c>
    </row>
    <row r="204" spans="1:10" x14ac:dyDescent="0.3">
      <c r="A204" s="2">
        <v>1543</v>
      </c>
      <c r="B204" t="s">
        <v>216</v>
      </c>
      <c r="C204" s="8">
        <v>24935</v>
      </c>
      <c r="D204" s="2" t="s">
        <v>217</v>
      </c>
      <c r="E204" s="2" t="str">
        <f>VLOOKUP(A204,'лист 2'!$A$3:$D$267,2,0)</f>
        <v>Python</v>
      </c>
      <c r="F204" s="9">
        <f>VLOOKUP($A$3,'лист 2'!$A$3:$D$267,3,0)</f>
        <v>45020</v>
      </c>
      <c r="G204" s="9" t="str">
        <f>VLOOKUP($A$3,'лист 2'!$A$3:$D$267,4,0)</f>
        <v>вебинар</v>
      </c>
      <c r="H204" s="2">
        <f>VLOOKUP($E204,'лист 3'!$A$3:$B$7,2,0)</f>
        <v>500</v>
      </c>
      <c r="I204" s="10">
        <f>VLOOKUP($G204,'лист 3'!$E$3:$F$5,2,0)</f>
        <v>0.1</v>
      </c>
      <c r="J204" s="3">
        <f t="shared" si="3"/>
        <v>450</v>
      </c>
    </row>
    <row r="205" spans="1:10" x14ac:dyDescent="0.3">
      <c r="A205" s="2">
        <v>1548</v>
      </c>
      <c r="B205" t="s">
        <v>218</v>
      </c>
      <c r="C205" s="8">
        <v>31149</v>
      </c>
      <c r="D205" s="2" t="s">
        <v>72</v>
      </c>
      <c r="E205" s="2" t="str">
        <f>VLOOKUP(A205,'лист 2'!$A$3:$D$267,2,0)</f>
        <v>Python</v>
      </c>
      <c r="F205" s="9">
        <f>VLOOKUP($A$3,'лист 2'!$A$3:$D$267,3,0)</f>
        <v>45020</v>
      </c>
      <c r="G205" s="9" t="str">
        <f>VLOOKUP($A$3,'лист 2'!$A$3:$D$267,4,0)</f>
        <v>вебинар</v>
      </c>
      <c r="H205" s="2">
        <f>VLOOKUP($E205,'лист 3'!$A$3:$B$7,2,0)</f>
        <v>500</v>
      </c>
      <c r="I205" s="10">
        <f>VLOOKUP($G205,'лист 3'!$E$3:$F$5,2,0)</f>
        <v>0.1</v>
      </c>
      <c r="J205" s="3">
        <f t="shared" si="3"/>
        <v>450</v>
      </c>
    </row>
    <row r="206" spans="1:10" x14ac:dyDescent="0.3">
      <c r="A206" s="2">
        <v>1186</v>
      </c>
      <c r="B206" t="s">
        <v>219</v>
      </c>
      <c r="C206" s="8">
        <v>22019</v>
      </c>
      <c r="D206" s="2" t="s">
        <v>12</v>
      </c>
      <c r="E206" s="2" t="str">
        <f>VLOOKUP(A206,'лист 2'!$A$3:$D$267,2,0)</f>
        <v>Python</v>
      </c>
      <c r="F206" s="9">
        <f>VLOOKUP($A$3,'лист 2'!$A$3:$D$267,3,0)</f>
        <v>45020</v>
      </c>
      <c r="G206" s="9" t="str">
        <f>VLOOKUP($A$3,'лист 2'!$A$3:$D$267,4,0)</f>
        <v>вебинар</v>
      </c>
      <c r="H206" s="2">
        <f>VLOOKUP($E206,'лист 3'!$A$3:$B$7,2,0)</f>
        <v>500</v>
      </c>
      <c r="I206" s="10">
        <f>VLOOKUP($G206,'лист 3'!$E$3:$F$5,2,0)</f>
        <v>0.1</v>
      </c>
      <c r="J206" s="3">
        <f t="shared" si="3"/>
        <v>450</v>
      </c>
    </row>
    <row r="207" spans="1:10" x14ac:dyDescent="0.3">
      <c r="A207" s="2">
        <v>1191</v>
      </c>
      <c r="B207" t="s">
        <v>220</v>
      </c>
      <c r="C207" s="8">
        <v>36679</v>
      </c>
      <c r="D207" s="2" t="s">
        <v>81</v>
      </c>
      <c r="E207" s="2" t="str">
        <f>VLOOKUP(A207,'лист 2'!$A$3:$D$267,2,0)</f>
        <v>Python</v>
      </c>
      <c r="F207" s="9">
        <f>VLOOKUP($A$3,'лист 2'!$A$3:$D$267,3,0)</f>
        <v>45020</v>
      </c>
      <c r="G207" s="9" t="str">
        <f>VLOOKUP($A$3,'лист 2'!$A$3:$D$267,4,0)</f>
        <v>вебинар</v>
      </c>
      <c r="H207" s="2">
        <f>VLOOKUP($E207,'лист 3'!$A$3:$B$7,2,0)</f>
        <v>500</v>
      </c>
      <c r="I207" s="10">
        <f>VLOOKUP($G207,'лист 3'!$E$3:$F$5,2,0)</f>
        <v>0.1</v>
      </c>
      <c r="J207" s="3">
        <f t="shared" si="3"/>
        <v>450</v>
      </c>
    </row>
    <row r="208" spans="1:10" x14ac:dyDescent="0.3">
      <c r="A208" s="2">
        <v>1196</v>
      </c>
      <c r="B208" t="s">
        <v>39</v>
      </c>
      <c r="C208" s="8">
        <v>38538</v>
      </c>
      <c r="D208" s="2" t="s">
        <v>217</v>
      </c>
      <c r="E208" s="2" t="str">
        <f>VLOOKUP(A208,'лист 2'!$A$3:$D$267,2,0)</f>
        <v>Python</v>
      </c>
      <c r="F208" s="9">
        <f>VLOOKUP($A$3,'лист 2'!$A$3:$D$267,3,0)</f>
        <v>45020</v>
      </c>
      <c r="G208" s="9" t="str">
        <f>VLOOKUP($A$3,'лист 2'!$A$3:$D$267,4,0)</f>
        <v>вебинар</v>
      </c>
      <c r="H208" s="2">
        <f>VLOOKUP($E208,'лист 3'!$A$3:$B$7,2,0)</f>
        <v>500</v>
      </c>
      <c r="I208" s="10">
        <f>VLOOKUP($G208,'лист 3'!$E$3:$F$5,2,0)</f>
        <v>0.1</v>
      </c>
      <c r="J208" s="3">
        <f t="shared" si="3"/>
        <v>450</v>
      </c>
    </row>
    <row r="209" spans="1:10" x14ac:dyDescent="0.3">
      <c r="A209" s="2">
        <v>1324</v>
      </c>
      <c r="B209" t="s">
        <v>221</v>
      </c>
      <c r="C209" s="8">
        <v>27405</v>
      </c>
      <c r="D209" s="2" t="s">
        <v>19</v>
      </c>
      <c r="E209" s="2" t="str">
        <f>VLOOKUP(A209,'лист 2'!$A$3:$D$267,2,0)</f>
        <v>Python</v>
      </c>
      <c r="F209" s="9">
        <f>VLOOKUP($A$3,'лист 2'!$A$3:$D$267,3,0)</f>
        <v>45020</v>
      </c>
      <c r="G209" s="9" t="str">
        <f>VLOOKUP($A$3,'лист 2'!$A$3:$D$267,4,0)</f>
        <v>вебинар</v>
      </c>
      <c r="H209" s="2">
        <f>VLOOKUP($E209,'лист 3'!$A$3:$B$7,2,0)</f>
        <v>500</v>
      </c>
      <c r="I209" s="10">
        <f>VLOOKUP($G209,'лист 3'!$E$3:$F$5,2,0)</f>
        <v>0.1</v>
      </c>
      <c r="J209" s="3">
        <f t="shared" si="3"/>
        <v>450</v>
      </c>
    </row>
    <row r="210" spans="1:10" x14ac:dyDescent="0.3">
      <c r="A210" s="2">
        <v>1381</v>
      </c>
      <c r="B210" t="s">
        <v>222</v>
      </c>
      <c r="C210" s="8">
        <v>25031</v>
      </c>
      <c r="D210" s="2" t="s">
        <v>12</v>
      </c>
      <c r="E210" s="2" t="str">
        <f>VLOOKUP(A210,'лист 2'!$A$3:$D$267,2,0)</f>
        <v>Python</v>
      </c>
      <c r="F210" s="9">
        <f>VLOOKUP($A$3,'лист 2'!$A$3:$D$267,3,0)</f>
        <v>45020</v>
      </c>
      <c r="G210" s="9" t="str">
        <f>VLOOKUP($A$3,'лист 2'!$A$3:$D$267,4,0)</f>
        <v>вебинар</v>
      </c>
      <c r="H210" s="2">
        <f>VLOOKUP($E210,'лист 3'!$A$3:$B$7,2,0)</f>
        <v>500</v>
      </c>
      <c r="I210" s="10">
        <f>VLOOKUP($G210,'лист 3'!$E$3:$F$5,2,0)</f>
        <v>0.1</v>
      </c>
      <c r="J210" s="3">
        <f t="shared" si="3"/>
        <v>450</v>
      </c>
    </row>
    <row r="211" spans="1:10" x14ac:dyDescent="0.3">
      <c r="A211" s="2">
        <v>1467</v>
      </c>
      <c r="B211" t="s">
        <v>175</v>
      </c>
      <c r="C211" s="8">
        <v>34367</v>
      </c>
      <c r="D211" s="2" t="s">
        <v>81</v>
      </c>
      <c r="E211" s="2" t="str">
        <f>VLOOKUP(A211,'лист 2'!$A$3:$D$267,2,0)</f>
        <v>Python</v>
      </c>
      <c r="F211" s="9">
        <f>VLOOKUP($A$3,'лист 2'!$A$3:$D$267,3,0)</f>
        <v>45020</v>
      </c>
      <c r="G211" s="9" t="str">
        <f>VLOOKUP($A$3,'лист 2'!$A$3:$D$267,4,0)</f>
        <v>вебинар</v>
      </c>
      <c r="H211" s="2">
        <f>VLOOKUP($E211,'лист 3'!$A$3:$B$7,2,0)</f>
        <v>500</v>
      </c>
      <c r="I211" s="10">
        <f>VLOOKUP($G211,'лист 3'!$E$3:$F$5,2,0)</f>
        <v>0.1</v>
      </c>
      <c r="J211" s="3">
        <f t="shared" si="3"/>
        <v>450</v>
      </c>
    </row>
    <row r="212" spans="1:10" x14ac:dyDescent="0.3">
      <c r="A212" s="2">
        <v>1553</v>
      </c>
      <c r="B212" t="s">
        <v>223</v>
      </c>
      <c r="C212" s="8">
        <v>33874</v>
      </c>
      <c r="D212" s="2" t="s">
        <v>12</v>
      </c>
      <c r="E212" s="2" t="str">
        <f>VLOOKUP(A212,'лист 2'!$A$3:$D$267,2,0)</f>
        <v>Python</v>
      </c>
      <c r="F212" s="9">
        <f>VLOOKUP($A$3,'лист 2'!$A$3:$D$267,3,0)</f>
        <v>45020</v>
      </c>
      <c r="G212" s="9" t="str">
        <f>VLOOKUP($A$3,'лист 2'!$A$3:$D$267,4,0)</f>
        <v>вебинар</v>
      </c>
      <c r="H212" s="2">
        <f>VLOOKUP($E212,'лист 3'!$A$3:$B$7,2,0)</f>
        <v>500</v>
      </c>
      <c r="I212" s="10">
        <f>VLOOKUP($G212,'лист 3'!$E$3:$F$5,2,0)</f>
        <v>0.1</v>
      </c>
      <c r="J212" s="3">
        <f t="shared" si="3"/>
        <v>450</v>
      </c>
    </row>
    <row r="213" spans="1:10" x14ac:dyDescent="0.3">
      <c r="A213" s="2">
        <v>1571</v>
      </c>
      <c r="B213" t="s">
        <v>224</v>
      </c>
      <c r="C213" s="8">
        <v>28548</v>
      </c>
      <c r="D213" s="2" t="s">
        <v>19</v>
      </c>
      <c r="E213" s="2" t="str">
        <f>VLOOKUP(A213,'лист 2'!$A$3:$D$267,2,0)</f>
        <v>Python</v>
      </c>
      <c r="F213" s="9">
        <f>VLOOKUP($A$3,'лист 2'!$A$3:$D$267,3,0)</f>
        <v>45020</v>
      </c>
      <c r="G213" s="9" t="str">
        <f>VLOOKUP($A$3,'лист 2'!$A$3:$D$267,4,0)</f>
        <v>вебинар</v>
      </c>
      <c r="H213" s="2">
        <f>VLOOKUP($E213,'лист 3'!$A$3:$B$7,2,0)</f>
        <v>500</v>
      </c>
      <c r="I213" s="10">
        <f>VLOOKUP($G213,'лист 3'!$E$3:$F$5,2,0)</f>
        <v>0.1</v>
      </c>
      <c r="J213" s="3">
        <f t="shared" si="3"/>
        <v>450</v>
      </c>
    </row>
    <row r="214" spans="1:10" x14ac:dyDescent="0.3">
      <c r="A214" s="2">
        <v>1434</v>
      </c>
      <c r="B214" t="s">
        <v>225</v>
      </c>
      <c r="C214" s="8">
        <v>35123</v>
      </c>
      <c r="D214" s="2" t="s">
        <v>22</v>
      </c>
      <c r="E214" s="2" t="str">
        <f>VLOOKUP(A214,'лист 2'!$A$3:$D$267,2,0)</f>
        <v>Python</v>
      </c>
      <c r="F214" s="9">
        <f>VLOOKUP($A$3,'лист 2'!$A$3:$D$267,3,0)</f>
        <v>45020</v>
      </c>
      <c r="G214" s="9" t="str">
        <f>VLOOKUP($A$3,'лист 2'!$A$3:$D$267,4,0)</f>
        <v>вебинар</v>
      </c>
      <c r="H214" s="2">
        <f>VLOOKUP($E214,'лист 3'!$A$3:$B$7,2,0)</f>
        <v>500</v>
      </c>
      <c r="I214" s="10">
        <f>VLOOKUP($G214,'лист 3'!$E$3:$F$5,2,0)</f>
        <v>0.1</v>
      </c>
      <c r="J214" s="3">
        <f t="shared" si="3"/>
        <v>450</v>
      </c>
    </row>
    <row r="215" spans="1:10" x14ac:dyDescent="0.3">
      <c r="A215" s="2">
        <v>1386</v>
      </c>
      <c r="B215" t="s">
        <v>226</v>
      </c>
      <c r="C215" s="8">
        <v>29198</v>
      </c>
      <c r="D215" s="2" t="s">
        <v>19</v>
      </c>
      <c r="E215" s="2" t="str">
        <f>VLOOKUP(A215,'лист 2'!$A$3:$D$267,2,0)</f>
        <v>Python</v>
      </c>
      <c r="F215" s="9">
        <f>VLOOKUP($A$3,'лист 2'!$A$3:$D$267,3,0)</f>
        <v>45020</v>
      </c>
      <c r="G215" s="9" t="str">
        <f>VLOOKUP($A$3,'лист 2'!$A$3:$D$267,4,0)</f>
        <v>вебинар</v>
      </c>
      <c r="H215" s="2">
        <f>VLOOKUP($E215,'лист 3'!$A$3:$B$7,2,0)</f>
        <v>500</v>
      </c>
      <c r="I215" s="10">
        <f>VLOOKUP($G215,'лист 3'!$E$3:$F$5,2,0)</f>
        <v>0.1</v>
      </c>
      <c r="J215" s="3">
        <f t="shared" si="3"/>
        <v>450</v>
      </c>
    </row>
    <row r="216" spans="1:10" x14ac:dyDescent="0.3">
      <c r="A216" s="2">
        <v>1452</v>
      </c>
      <c r="B216" t="s">
        <v>227</v>
      </c>
      <c r="C216" s="8">
        <v>27889</v>
      </c>
      <c r="D216" s="2" t="s">
        <v>72</v>
      </c>
      <c r="E216" s="2" t="str">
        <f>VLOOKUP(A216,'лист 2'!$A$3:$D$267,2,0)</f>
        <v>Python</v>
      </c>
      <c r="F216" s="9">
        <f>VLOOKUP($A$3,'лист 2'!$A$3:$D$267,3,0)</f>
        <v>45020</v>
      </c>
      <c r="G216" s="9" t="str">
        <f>VLOOKUP($A$3,'лист 2'!$A$3:$D$267,4,0)</f>
        <v>вебинар</v>
      </c>
      <c r="H216" s="2">
        <f>VLOOKUP($E216,'лист 3'!$A$3:$B$7,2,0)</f>
        <v>500</v>
      </c>
      <c r="I216" s="10">
        <f>VLOOKUP($G216,'лист 3'!$E$3:$F$5,2,0)</f>
        <v>0.1</v>
      </c>
      <c r="J216" s="3">
        <f t="shared" si="3"/>
        <v>450</v>
      </c>
    </row>
    <row r="217" spans="1:10" x14ac:dyDescent="0.3">
      <c r="A217" s="2">
        <v>1391</v>
      </c>
      <c r="B217" t="s">
        <v>228</v>
      </c>
      <c r="C217" s="8">
        <v>22657</v>
      </c>
      <c r="D217" s="2" t="s">
        <v>19</v>
      </c>
      <c r="E217" s="2" t="str">
        <f>VLOOKUP(A217,'лист 2'!$A$3:$D$267,2,0)</f>
        <v>Python</v>
      </c>
      <c r="F217" s="9">
        <f>VLOOKUP($A$3,'лист 2'!$A$3:$D$267,3,0)</f>
        <v>45020</v>
      </c>
      <c r="G217" s="9" t="str">
        <f>VLOOKUP($A$3,'лист 2'!$A$3:$D$267,4,0)</f>
        <v>вебинар</v>
      </c>
      <c r="H217" s="2">
        <f>VLOOKUP($E217,'лист 3'!$A$3:$B$7,2,0)</f>
        <v>500</v>
      </c>
      <c r="I217" s="10">
        <f>VLOOKUP($G217,'лист 3'!$E$3:$F$5,2,0)</f>
        <v>0.1</v>
      </c>
      <c r="J217" s="3">
        <f t="shared" si="3"/>
        <v>450</v>
      </c>
    </row>
    <row r="218" spans="1:10" x14ac:dyDescent="0.3">
      <c r="A218" s="2">
        <v>1439</v>
      </c>
      <c r="B218" t="s">
        <v>229</v>
      </c>
      <c r="C218" s="8">
        <v>24561</v>
      </c>
      <c r="D218" s="2" t="s">
        <v>19</v>
      </c>
      <c r="E218" s="2" t="str">
        <f>VLOOKUP(A218,'лист 2'!$A$3:$D$267,2,0)</f>
        <v>Python</v>
      </c>
      <c r="F218" s="9">
        <f>VLOOKUP($A$3,'лист 2'!$A$3:$D$267,3,0)</f>
        <v>45020</v>
      </c>
      <c r="G218" s="9" t="str">
        <f>VLOOKUP($A$3,'лист 2'!$A$3:$D$267,4,0)</f>
        <v>вебинар</v>
      </c>
      <c r="H218" s="2">
        <f>VLOOKUP($E218,'лист 3'!$A$3:$B$7,2,0)</f>
        <v>500</v>
      </c>
      <c r="I218" s="10">
        <f>VLOOKUP($G218,'лист 3'!$E$3:$F$5,2,0)</f>
        <v>0.1</v>
      </c>
      <c r="J218" s="3">
        <f t="shared" si="3"/>
        <v>450</v>
      </c>
    </row>
    <row r="219" spans="1:10" x14ac:dyDescent="0.3">
      <c r="A219" s="2">
        <v>1201</v>
      </c>
      <c r="B219" t="s">
        <v>230</v>
      </c>
      <c r="C219" s="8">
        <v>23875</v>
      </c>
      <c r="D219" s="2" t="s">
        <v>72</v>
      </c>
      <c r="E219" s="2" t="str">
        <f>VLOOKUP(A219,'лист 2'!$A$3:$D$267,2,0)</f>
        <v>Python</v>
      </c>
      <c r="F219" s="9">
        <f>VLOOKUP($A$3,'лист 2'!$A$3:$D$267,3,0)</f>
        <v>45020</v>
      </c>
      <c r="G219" s="9" t="str">
        <f>VLOOKUP($A$3,'лист 2'!$A$3:$D$267,4,0)</f>
        <v>вебинар</v>
      </c>
      <c r="H219" s="2">
        <f>VLOOKUP($E219,'лист 3'!$A$3:$B$7,2,0)</f>
        <v>500</v>
      </c>
      <c r="I219" s="10">
        <f>VLOOKUP($G219,'лист 3'!$E$3:$F$5,2,0)</f>
        <v>0.1</v>
      </c>
      <c r="J219" s="3">
        <f t="shared" si="3"/>
        <v>450</v>
      </c>
    </row>
    <row r="220" spans="1:10" x14ac:dyDescent="0.3">
      <c r="A220" s="2">
        <v>1563</v>
      </c>
      <c r="B220" t="s">
        <v>231</v>
      </c>
      <c r="C220" s="8">
        <v>36085</v>
      </c>
      <c r="D220" s="2" t="s">
        <v>22</v>
      </c>
      <c r="E220" s="2" t="str">
        <f>VLOOKUP(A220,'лист 2'!$A$3:$D$267,2,0)</f>
        <v>SQL</v>
      </c>
      <c r="F220" s="9">
        <f>VLOOKUP($A$3,'лист 2'!$A$3:$D$267,3,0)</f>
        <v>45020</v>
      </c>
      <c r="G220" s="9" t="str">
        <f>VLOOKUP($A$3,'лист 2'!$A$3:$D$267,4,0)</f>
        <v>вебинар</v>
      </c>
      <c r="H220" s="2">
        <f>VLOOKUP($E220,'лист 3'!$A$3:$B$7,2,0)</f>
        <v>500</v>
      </c>
      <c r="I220" s="10">
        <f>VLOOKUP($G220,'лист 3'!$E$3:$F$5,2,0)</f>
        <v>0.1</v>
      </c>
      <c r="J220" s="3">
        <f t="shared" si="3"/>
        <v>450</v>
      </c>
    </row>
    <row r="221" spans="1:10" x14ac:dyDescent="0.3">
      <c r="A221" s="2">
        <v>1464</v>
      </c>
      <c r="B221" t="s">
        <v>103</v>
      </c>
      <c r="C221" s="8">
        <v>32523</v>
      </c>
      <c r="D221" s="2" t="s">
        <v>22</v>
      </c>
      <c r="E221" s="2" t="str">
        <f>VLOOKUP(A221,'лист 2'!$A$3:$D$267,2,0)</f>
        <v>SQL</v>
      </c>
      <c r="F221" s="9">
        <f>VLOOKUP($A$3,'лист 2'!$A$3:$D$267,3,0)</f>
        <v>45020</v>
      </c>
      <c r="G221" s="9" t="str">
        <f>VLOOKUP($A$3,'лист 2'!$A$3:$D$267,4,0)</f>
        <v>вебинар</v>
      </c>
      <c r="H221" s="2">
        <f>VLOOKUP($E221,'лист 3'!$A$3:$B$7,2,0)</f>
        <v>500</v>
      </c>
      <c r="I221" s="10">
        <f>VLOOKUP($G221,'лист 3'!$E$3:$F$5,2,0)</f>
        <v>0.1</v>
      </c>
      <c r="J221" s="3">
        <f t="shared" si="3"/>
        <v>450</v>
      </c>
    </row>
    <row r="222" spans="1:10" x14ac:dyDescent="0.3">
      <c r="A222" s="2">
        <v>1431</v>
      </c>
      <c r="B222" t="s">
        <v>232</v>
      </c>
      <c r="C222" s="8">
        <v>25185</v>
      </c>
      <c r="D222" s="2" t="s">
        <v>22</v>
      </c>
      <c r="E222" s="2" t="str">
        <f>VLOOKUP(A222,'лист 2'!$A$3:$D$267,2,0)</f>
        <v>SQL</v>
      </c>
      <c r="F222" s="9">
        <f>VLOOKUP($A$3,'лист 2'!$A$3:$D$267,3,0)</f>
        <v>45020</v>
      </c>
      <c r="G222" s="9" t="str">
        <f>VLOOKUP($A$3,'лист 2'!$A$3:$D$267,4,0)</f>
        <v>вебинар</v>
      </c>
      <c r="H222" s="2">
        <f>VLOOKUP($E222,'лист 3'!$A$3:$B$7,2,0)</f>
        <v>500</v>
      </c>
      <c r="I222" s="10">
        <f>VLOOKUP($G222,'лист 3'!$E$3:$F$5,2,0)</f>
        <v>0.1</v>
      </c>
      <c r="J222" s="3">
        <f t="shared" si="3"/>
        <v>450</v>
      </c>
    </row>
    <row r="223" spans="1:10" x14ac:dyDescent="0.3">
      <c r="A223" s="2">
        <v>1449</v>
      </c>
      <c r="B223" t="s">
        <v>233</v>
      </c>
      <c r="C223" s="8">
        <v>26530</v>
      </c>
      <c r="D223" s="2" t="s">
        <v>22</v>
      </c>
      <c r="E223" s="2" t="str">
        <f>VLOOKUP(A223,'лист 2'!$A$3:$D$267,2,0)</f>
        <v>SQL</v>
      </c>
      <c r="F223" s="9">
        <f>VLOOKUP($A$3,'лист 2'!$A$3:$D$267,3,0)</f>
        <v>45020</v>
      </c>
      <c r="G223" s="9" t="str">
        <f>VLOOKUP($A$3,'лист 2'!$A$3:$D$267,4,0)</f>
        <v>вебинар</v>
      </c>
      <c r="H223" s="2">
        <f>VLOOKUP($E223,'лист 3'!$A$3:$B$7,2,0)</f>
        <v>500</v>
      </c>
      <c r="I223" s="10">
        <f>VLOOKUP($G223,'лист 3'!$E$3:$F$5,2,0)</f>
        <v>0.1</v>
      </c>
      <c r="J223" s="3">
        <f t="shared" si="3"/>
        <v>450</v>
      </c>
    </row>
    <row r="224" spans="1:10" x14ac:dyDescent="0.3">
      <c r="A224" s="2">
        <v>1469</v>
      </c>
      <c r="B224" t="s">
        <v>201</v>
      </c>
      <c r="C224" s="8">
        <v>24332</v>
      </c>
      <c r="D224" s="2" t="s">
        <v>22</v>
      </c>
      <c r="E224" s="2" t="str">
        <f>VLOOKUP(A224,'лист 2'!$A$3:$D$267,2,0)</f>
        <v>SQL</v>
      </c>
      <c r="F224" s="9">
        <f>VLOOKUP($A$3,'лист 2'!$A$3:$D$267,3,0)</f>
        <v>45020</v>
      </c>
      <c r="G224" s="9" t="str">
        <f>VLOOKUP($A$3,'лист 2'!$A$3:$D$267,4,0)</f>
        <v>вебинар</v>
      </c>
      <c r="H224" s="2">
        <f>VLOOKUP($E224,'лист 3'!$A$3:$B$7,2,0)</f>
        <v>500</v>
      </c>
      <c r="I224" s="10">
        <f>VLOOKUP($G224,'лист 3'!$E$3:$F$5,2,0)</f>
        <v>0.1</v>
      </c>
      <c r="J224" s="3">
        <f t="shared" si="3"/>
        <v>450</v>
      </c>
    </row>
    <row r="225" spans="1:10" x14ac:dyDescent="0.3">
      <c r="A225" s="2">
        <v>1573</v>
      </c>
      <c r="B225" t="s">
        <v>234</v>
      </c>
      <c r="C225" s="8">
        <v>21754</v>
      </c>
      <c r="D225" s="2" t="s">
        <v>22</v>
      </c>
      <c r="E225" s="2" t="str">
        <f>VLOOKUP(A225,'лист 2'!$A$3:$D$267,2,0)</f>
        <v>SQL</v>
      </c>
      <c r="F225" s="9">
        <f>VLOOKUP($A$3,'лист 2'!$A$3:$D$267,3,0)</f>
        <v>45020</v>
      </c>
      <c r="G225" s="9" t="str">
        <f>VLOOKUP($A$3,'лист 2'!$A$3:$D$267,4,0)</f>
        <v>вебинар</v>
      </c>
      <c r="H225" s="2">
        <f>VLOOKUP($E225,'лист 3'!$A$3:$B$7,2,0)</f>
        <v>500</v>
      </c>
      <c r="I225" s="10">
        <f>VLOOKUP($G225,'лист 3'!$E$3:$F$5,2,0)</f>
        <v>0.1</v>
      </c>
      <c r="J225" s="3">
        <f t="shared" si="3"/>
        <v>450</v>
      </c>
    </row>
    <row r="226" spans="1:10" x14ac:dyDescent="0.3">
      <c r="A226" s="2">
        <v>1454</v>
      </c>
      <c r="B226" t="s">
        <v>116</v>
      </c>
      <c r="C226" s="8">
        <v>31540</v>
      </c>
      <c r="D226" s="2" t="s">
        <v>22</v>
      </c>
      <c r="E226" s="2" t="str">
        <f>VLOOKUP(A226,'лист 2'!$A$3:$D$267,2,0)</f>
        <v>SQL</v>
      </c>
      <c r="F226" s="9">
        <f>VLOOKUP($A$3,'лист 2'!$A$3:$D$267,3,0)</f>
        <v>45020</v>
      </c>
      <c r="G226" s="9" t="str">
        <f>VLOOKUP($A$3,'лист 2'!$A$3:$D$267,4,0)</f>
        <v>вебинар</v>
      </c>
      <c r="H226" s="2">
        <f>VLOOKUP($E226,'лист 3'!$A$3:$B$7,2,0)</f>
        <v>500</v>
      </c>
      <c r="I226" s="10">
        <f>VLOOKUP($G226,'лист 3'!$E$3:$F$5,2,0)</f>
        <v>0.1</v>
      </c>
      <c r="J226" s="3">
        <f t="shared" si="3"/>
        <v>450</v>
      </c>
    </row>
    <row r="227" spans="1:10" x14ac:dyDescent="0.3">
      <c r="A227" s="2">
        <v>1373</v>
      </c>
      <c r="B227" t="s">
        <v>235</v>
      </c>
      <c r="C227" s="8">
        <v>33960</v>
      </c>
      <c r="D227" s="2" t="s">
        <v>19</v>
      </c>
      <c r="E227" s="2" t="str">
        <f>VLOOKUP(A227,'лист 2'!$A$3:$D$267,2,0)</f>
        <v>SQL</v>
      </c>
      <c r="F227" s="9">
        <f>VLOOKUP($A$3,'лист 2'!$A$3:$D$267,3,0)</f>
        <v>45020</v>
      </c>
      <c r="G227" s="9" t="str">
        <f>VLOOKUP($A$3,'лист 2'!$A$3:$D$267,4,0)</f>
        <v>вебинар</v>
      </c>
      <c r="H227" s="2">
        <f>VLOOKUP($E227,'лист 3'!$A$3:$B$7,2,0)</f>
        <v>500</v>
      </c>
      <c r="I227" s="10">
        <f>VLOOKUP($G227,'лист 3'!$E$3:$F$5,2,0)</f>
        <v>0.1</v>
      </c>
      <c r="J227" s="3">
        <f t="shared" si="3"/>
        <v>450</v>
      </c>
    </row>
    <row r="228" spans="1:10" x14ac:dyDescent="0.3">
      <c r="A228" s="2">
        <v>1568</v>
      </c>
      <c r="B228" t="s">
        <v>236</v>
      </c>
      <c r="C228" s="8">
        <v>37367</v>
      </c>
      <c r="D228" s="2" t="s">
        <v>19</v>
      </c>
      <c r="E228" s="2" t="str">
        <f>VLOOKUP(A228,'лист 2'!$A$3:$D$267,2,0)</f>
        <v>SQL</v>
      </c>
      <c r="F228" s="9">
        <f>VLOOKUP($A$3,'лист 2'!$A$3:$D$267,3,0)</f>
        <v>45020</v>
      </c>
      <c r="G228" s="9" t="str">
        <f>VLOOKUP($A$3,'лист 2'!$A$3:$D$267,4,0)</f>
        <v>вебинар</v>
      </c>
      <c r="H228" s="2">
        <f>VLOOKUP($E228,'лист 3'!$A$3:$B$7,2,0)</f>
        <v>500</v>
      </c>
      <c r="I228" s="10">
        <f>VLOOKUP($G228,'лист 3'!$E$3:$F$5,2,0)</f>
        <v>0.1</v>
      </c>
      <c r="J228" s="3">
        <f t="shared" si="3"/>
        <v>450</v>
      </c>
    </row>
    <row r="229" spans="1:10" x14ac:dyDescent="0.3">
      <c r="A229" s="2">
        <v>1311</v>
      </c>
      <c r="B229" t="s">
        <v>237</v>
      </c>
      <c r="C229" s="8">
        <v>29424</v>
      </c>
      <c r="D229" s="2" t="s">
        <v>81</v>
      </c>
      <c r="E229" s="2" t="str">
        <f>VLOOKUP(A229,'лист 2'!$A$3:$D$267,2,0)</f>
        <v>SQL</v>
      </c>
      <c r="F229" s="9">
        <f>VLOOKUP($A$3,'лист 2'!$A$3:$D$267,3,0)</f>
        <v>45020</v>
      </c>
      <c r="G229" s="9" t="str">
        <f>VLOOKUP($A$3,'лист 2'!$A$3:$D$267,4,0)</f>
        <v>вебинар</v>
      </c>
      <c r="H229" s="2">
        <f>VLOOKUP($E229,'лист 3'!$A$3:$B$7,2,0)</f>
        <v>500</v>
      </c>
      <c r="I229" s="10">
        <f>VLOOKUP($G229,'лист 3'!$E$3:$F$5,2,0)</f>
        <v>0.1</v>
      </c>
      <c r="J229" s="3">
        <f t="shared" si="3"/>
        <v>450</v>
      </c>
    </row>
    <row r="230" spans="1:10" x14ac:dyDescent="0.3">
      <c r="A230" s="2">
        <v>1558</v>
      </c>
      <c r="B230" t="s">
        <v>238</v>
      </c>
      <c r="C230" s="8">
        <v>36536</v>
      </c>
      <c r="D230" s="2" t="s">
        <v>12</v>
      </c>
      <c r="E230" s="2" t="str">
        <f>VLOOKUP(A230,'лист 2'!$A$3:$D$267,2,0)</f>
        <v>SQL</v>
      </c>
      <c r="F230" s="9">
        <f>VLOOKUP($A$3,'лист 2'!$A$3:$D$267,3,0)</f>
        <v>45020</v>
      </c>
      <c r="G230" s="9" t="str">
        <f>VLOOKUP($A$3,'лист 2'!$A$3:$D$267,4,0)</f>
        <v>вебинар</v>
      </c>
      <c r="H230" s="2">
        <f>VLOOKUP($E230,'лист 3'!$A$3:$B$7,2,0)</f>
        <v>500</v>
      </c>
      <c r="I230" s="10">
        <f>VLOOKUP($G230,'лист 3'!$E$3:$F$5,2,0)</f>
        <v>0.1</v>
      </c>
      <c r="J230" s="3">
        <f t="shared" si="3"/>
        <v>450</v>
      </c>
    </row>
    <row r="231" spans="1:10" x14ac:dyDescent="0.3">
      <c r="A231" s="2">
        <v>1211</v>
      </c>
      <c r="B231" t="s">
        <v>96</v>
      </c>
      <c r="C231" s="8">
        <v>35217</v>
      </c>
      <c r="D231" s="2" t="s">
        <v>217</v>
      </c>
      <c r="E231" s="2" t="str">
        <f>VLOOKUP(A231,'лист 2'!$A$3:$D$267,2,0)</f>
        <v>SQL</v>
      </c>
      <c r="F231" s="9">
        <f>VLOOKUP($A$3,'лист 2'!$A$3:$D$267,3,0)</f>
        <v>45020</v>
      </c>
      <c r="G231" s="9" t="str">
        <f>VLOOKUP($A$3,'лист 2'!$A$3:$D$267,4,0)</f>
        <v>вебинар</v>
      </c>
      <c r="H231" s="2">
        <f>VLOOKUP($E231,'лист 3'!$A$3:$B$7,2,0)</f>
        <v>500</v>
      </c>
      <c r="I231" s="10">
        <f>VLOOKUP($G231,'лист 3'!$E$3:$F$5,2,0)</f>
        <v>0.1</v>
      </c>
      <c r="J231" s="3">
        <f t="shared" si="3"/>
        <v>450</v>
      </c>
    </row>
    <row r="232" spans="1:10" x14ac:dyDescent="0.3">
      <c r="A232" s="2">
        <v>1216</v>
      </c>
      <c r="B232" t="s">
        <v>239</v>
      </c>
      <c r="C232" s="8">
        <v>38349</v>
      </c>
      <c r="D232" s="2" t="s">
        <v>81</v>
      </c>
      <c r="E232" s="2" t="str">
        <f>VLOOKUP(A232,'лист 2'!$A$3:$D$267,2,0)</f>
        <v>SQL</v>
      </c>
      <c r="F232" s="9">
        <f>VLOOKUP($A$3,'лист 2'!$A$3:$D$267,3,0)</f>
        <v>45020</v>
      </c>
      <c r="G232" s="9" t="str">
        <f>VLOOKUP($A$3,'лист 2'!$A$3:$D$267,4,0)</f>
        <v>вебинар</v>
      </c>
      <c r="H232" s="2">
        <f>VLOOKUP($E232,'лист 3'!$A$3:$B$7,2,0)</f>
        <v>500</v>
      </c>
      <c r="I232" s="10">
        <f>VLOOKUP($G232,'лист 3'!$E$3:$F$5,2,0)</f>
        <v>0.1</v>
      </c>
      <c r="J232" s="3">
        <f t="shared" si="3"/>
        <v>450</v>
      </c>
    </row>
    <row r="233" spans="1:10" x14ac:dyDescent="0.3">
      <c r="A233" s="2">
        <v>1291</v>
      </c>
      <c r="B233" t="s">
        <v>240</v>
      </c>
      <c r="C233" s="8">
        <v>24079</v>
      </c>
      <c r="D233" s="2" t="s">
        <v>79</v>
      </c>
      <c r="E233" s="2" t="str">
        <f>VLOOKUP(A233,'лист 2'!$A$3:$D$267,2,0)</f>
        <v>SQL</v>
      </c>
      <c r="F233" s="9">
        <f>VLOOKUP($A$3,'лист 2'!$A$3:$D$267,3,0)</f>
        <v>45020</v>
      </c>
      <c r="G233" s="9" t="str">
        <f>VLOOKUP($A$3,'лист 2'!$A$3:$D$267,4,0)</f>
        <v>вебинар</v>
      </c>
      <c r="H233" s="2">
        <f>VLOOKUP($E233,'лист 3'!$A$3:$B$7,2,0)</f>
        <v>500</v>
      </c>
      <c r="I233" s="10">
        <f>VLOOKUP($G233,'лист 3'!$E$3:$F$5,2,0)</f>
        <v>0.1</v>
      </c>
      <c r="J233" s="3">
        <f t="shared" si="3"/>
        <v>450</v>
      </c>
    </row>
    <row r="234" spans="1:10" x14ac:dyDescent="0.3">
      <c r="A234" s="2">
        <v>1296</v>
      </c>
      <c r="B234" t="s">
        <v>241</v>
      </c>
      <c r="C234" s="8">
        <v>32199</v>
      </c>
      <c r="D234" s="2" t="s">
        <v>217</v>
      </c>
      <c r="E234" s="2" t="str">
        <f>VLOOKUP(A234,'лист 2'!$A$3:$D$267,2,0)</f>
        <v>SQL</v>
      </c>
      <c r="F234" s="9">
        <f>VLOOKUP($A$3,'лист 2'!$A$3:$D$267,3,0)</f>
        <v>45020</v>
      </c>
      <c r="G234" s="9" t="str">
        <f>VLOOKUP($A$3,'лист 2'!$A$3:$D$267,4,0)</f>
        <v>вебинар</v>
      </c>
      <c r="H234" s="2">
        <f>VLOOKUP($E234,'лист 3'!$A$3:$B$7,2,0)</f>
        <v>500</v>
      </c>
      <c r="I234" s="10">
        <f>VLOOKUP($G234,'лист 3'!$E$3:$F$5,2,0)</f>
        <v>0.1</v>
      </c>
      <c r="J234" s="3">
        <f t="shared" si="3"/>
        <v>450</v>
      </c>
    </row>
    <row r="235" spans="1:10" x14ac:dyDescent="0.3">
      <c r="A235" s="2">
        <v>1316</v>
      </c>
      <c r="B235" t="s">
        <v>242</v>
      </c>
      <c r="C235" s="8">
        <v>25990</v>
      </c>
      <c r="D235" s="2" t="s">
        <v>22</v>
      </c>
      <c r="E235" s="2" t="str">
        <f>VLOOKUP(A235,'лист 2'!$A$3:$D$267,2,0)</f>
        <v>SQL</v>
      </c>
      <c r="F235" s="9">
        <f>VLOOKUP($A$3,'лист 2'!$A$3:$D$267,3,0)</f>
        <v>45020</v>
      </c>
      <c r="G235" s="9" t="str">
        <f>VLOOKUP($A$3,'лист 2'!$A$3:$D$267,4,0)</f>
        <v>вебинар</v>
      </c>
      <c r="H235" s="2">
        <f>VLOOKUP($E235,'лист 3'!$A$3:$B$7,2,0)</f>
        <v>500</v>
      </c>
      <c r="I235" s="10">
        <f>VLOOKUP($G235,'лист 3'!$E$3:$F$5,2,0)</f>
        <v>0.1</v>
      </c>
      <c r="J235" s="3">
        <f t="shared" si="3"/>
        <v>450</v>
      </c>
    </row>
    <row r="236" spans="1:10" x14ac:dyDescent="0.3">
      <c r="A236" s="2">
        <v>1321</v>
      </c>
      <c r="B236" t="s">
        <v>243</v>
      </c>
      <c r="C236" s="8">
        <v>21821</v>
      </c>
      <c r="D236" s="2" t="s">
        <v>19</v>
      </c>
      <c r="E236" s="2" t="str">
        <f>VLOOKUP(A236,'лист 2'!$A$3:$D$267,2,0)</f>
        <v>SQL</v>
      </c>
      <c r="F236" s="9">
        <f>VLOOKUP($A$3,'лист 2'!$A$3:$D$267,3,0)</f>
        <v>45020</v>
      </c>
      <c r="G236" s="9" t="str">
        <f>VLOOKUP($A$3,'лист 2'!$A$3:$D$267,4,0)</f>
        <v>вебинар</v>
      </c>
      <c r="H236" s="2">
        <f>VLOOKUP($E236,'лист 3'!$A$3:$B$7,2,0)</f>
        <v>500</v>
      </c>
      <c r="I236" s="10">
        <f>VLOOKUP($G236,'лист 3'!$E$3:$F$5,2,0)</f>
        <v>0.1</v>
      </c>
      <c r="J236" s="3">
        <f t="shared" si="3"/>
        <v>450</v>
      </c>
    </row>
    <row r="237" spans="1:10" x14ac:dyDescent="0.3">
      <c r="A237" s="2">
        <v>1378</v>
      </c>
      <c r="B237" t="s">
        <v>244</v>
      </c>
      <c r="C237" s="8">
        <v>30918</v>
      </c>
      <c r="D237" s="2" t="s">
        <v>19</v>
      </c>
      <c r="E237" s="2" t="str">
        <f>VLOOKUP(A237,'лист 2'!$A$3:$D$267,2,0)</f>
        <v>SQL</v>
      </c>
      <c r="F237" s="9">
        <f>VLOOKUP($A$3,'лист 2'!$A$3:$D$267,3,0)</f>
        <v>45020</v>
      </c>
      <c r="G237" s="9" t="str">
        <f>VLOOKUP($A$3,'лист 2'!$A$3:$D$267,4,0)</f>
        <v>вебинар</v>
      </c>
      <c r="H237" s="2">
        <f>VLOOKUP($E237,'лист 3'!$A$3:$B$7,2,0)</f>
        <v>500</v>
      </c>
      <c r="I237" s="10">
        <f>VLOOKUP($G237,'лист 3'!$E$3:$F$5,2,0)</f>
        <v>0.1</v>
      </c>
      <c r="J237" s="3">
        <f t="shared" si="3"/>
        <v>450</v>
      </c>
    </row>
    <row r="238" spans="1:10" x14ac:dyDescent="0.3">
      <c r="A238" s="2">
        <v>1383</v>
      </c>
      <c r="B238" t="s">
        <v>208</v>
      </c>
      <c r="C238" s="8">
        <v>29054</v>
      </c>
      <c r="D238" s="2" t="s">
        <v>19</v>
      </c>
      <c r="E238" s="2" t="str">
        <f>VLOOKUP(A238,'лист 2'!$A$3:$D$267,2,0)</f>
        <v>SQL</v>
      </c>
      <c r="F238" s="9">
        <f>VLOOKUP($A$3,'лист 2'!$A$3:$D$267,3,0)</f>
        <v>45020</v>
      </c>
      <c r="G238" s="9" t="str">
        <f>VLOOKUP($A$3,'лист 2'!$A$3:$D$267,4,0)</f>
        <v>вебинар</v>
      </c>
      <c r="H238" s="2">
        <f>VLOOKUP($E238,'лист 3'!$A$3:$B$7,2,0)</f>
        <v>500</v>
      </c>
      <c r="I238" s="10">
        <f>VLOOKUP($G238,'лист 3'!$E$3:$F$5,2,0)</f>
        <v>0.1</v>
      </c>
      <c r="J238" s="3">
        <f t="shared" si="3"/>
        <v>450</v>
      </c>
    </row>
    <row r="239" spans="1:10" x14ac:dyDescent="0.3">
      <c r="A239" s="2">
        <v>1388</v>
      </c>
      <c r="B239" t="s">
        <v>245</v>
      </c>
      <c r="C239" s="8">
        <v>28113</v>
      </c>
      <c r="D239" s="2" t="s">
        <v>19</v>
      </c>
      <c r="E239" s="2" t="str">
        <f>VLOOKUP(A239,'лист 2'!$A$3:$D$267,2,0)</f>
        <v>SQL</v>
      </c>
      <c r="F239" s="9">
        <f>VLOOKUP($A$3,'лист 2'!$A$3:$D$267,3,0)</f>
        <v>45020</v>
      </c>
      <c r="G239" s="9" t="str">
        <f>VLOOKUP($A$3,'лист 2'!$A$3:$D$267,4,0)</f>
        <v>вебинар</v>
      </c>
      <c r="H239" s="2">
        <f>VLOOKUP($E239,'лист 3'!$A$3:$B$7,2,0)</f>
        <v>500</v>
      </c>
      <c r="I239" s="10">
        <f>VLOOKUP($G239,'лист 3'!$E$3:$F$5,2,0)</f>
        <v>0.1</v>
      </c>
      <c r="J239" s="3">
        <f t="shared" si="3"/>
        <v>450</v>
      </c>
    </row>
    <row r="240" spans="1:10" x14ac:dyDescent="0.3">
      <c r="A240" s="2">
        <v>1436</v>
      </c>
      <c r="B240" t="s">
        <v>246</v>
      </c>
      <c r="C240" s="8">
        <v>22551</v>
      </c>
      <c r="D240" s="2" t="s">
        <v>19</v>
      </c>
      <c r="E240" s="2" t="str">
        <f>VLOOKUP(A240,'лист 2'!$A$3:$D$267,2,0)</f>
        <v>SQL</v>
      </c>
      <c r="F240" s="9">
        <f>VLOOKUP($A$3,'лист 2'!$A$3:$D$267,3,0)</f>
        <v>45020</v>
      </c>
      <c r="G240" s="9" t="str">
        <f>VLOOKUP($A$3,'лист 2'!$A$3:$D$267,4,0)</f>
        <v>вебинар</v>
      </c>
      <c r="H240" s="2">
        <f>VLOOKUP($E240,'лист 3'!$A$3:$B$7,2,0)</f>
        <v>500</v>
      </c>
      <c r="I240" s="10">
        <f>VLOOKUP($G240,'лист 3'!$E$3:$F$5,2,0)</f>
        <v>0.1</v>
      </c>
      <c r="J240" s="3">
        <f t="shared" si="3"/>
        <v>450</v>
      </c>
    </row>
    <row r="241" spans="1:10" x14ac:dyDescent="0.3">
      <c r="A241" s="2">
        <v>1019</v>
      </c>
      <c r="B241" t="s">
        <v>247</v>
      </c>
      <c r="C241" s="8">
        <v>38762</v>
      </c>
      <c r="D241" s="2" t="s">
        <v>22</v>
      </c>
      <c r="E241" s="2" t="str">
        <f>VLOOKUP(A241,'лист 2'!$A$3:$D$267,2,0)</f>
        <v>SQL</v>
      </c>
      <c r="F241" s="9">
        <f>VLOOKUP($A$3,'лист 2'!$A$3:$D$267,3,0)</f>
        <v>45020</v>
      </c>
      <c r="G241" s="9" t="str">
        <f>VLOOKUP($A$3,'лист 2'!$A$3:$D$267,4,0)</f>
        <v>вебинар</v>
      </c>
      <c r="H241" s="2">
        <f>VLOOKUP($E241,'лист 3'!$A$3:$B$7,2,0)</f>
        <v>500</v>
      </c>
      <c r="I241" s="10">
        <f>VLOOKUP($G241,'лист 3'!$E$3:$F$5,2,0)</f>
        <v>0.1</v>
      </c>
      <c r="J241" s="3">
        <f t="shared" si="3"/>
        <v>450</v>
      </c>
    </row>
    <row r="242" spans="1:10" x14ac:dyDescent="0.3">
      <c r="A242" s="2">
        <v>1037</v>
      </c>
      <c r="B242" t="s">
        <v>248</v>
      </c>
      <c r="C242" s="8">
        <v>28153</v>
      </c>
      <c r="D242" s="2" t="s">
        <v>19</v>
      </c>
      <c r="E242" s="2" t="str">
        <f>VLOOKUP(A242,'лист 2'!$A$3:$D$267,2,0)</f>
        <v>SQL</v>
      </c>
      <c r="F242" s="9">
        <f>VLOOKUP($A$3,'лист 2'!$A$3:$D$267,3,0)</f>
        <v>45020</v>
      </c>
      <c r="G242" s="9" t="str">
        <f>VLOOKUP($A$3,'лист 2'!$A$3:$D$267,4,0)</f>
        <v>вебинар</v>
      </c>
      <c r="H242" s="2">
        <f>VLOOKUP($E242,'лист 3'!$A$3:$B$7,2,0)</f>
        <v>500</v>
      </c>
      <c r="I242" s="10">
        <f>VLOOKUP($G242,'лист 3'!$E$3:$F$5,2,0)</f>
        <v>0.1</v>
      </c>
      <c r="J242" s="3">
        <f t="shared" si="3"/>
        <v>450</v>
      </c>
    </row>
    <row r="243" spans="1:10" x14ac:dyDescent="0.3">
      <c r="A243" s="2">
        <v>1052</v>
      </c>
      <c r="B243" t="s">
        <v>249</v>
      </c>
      <c r="C243" s="8">
        <v>22323</v>
      </c>
      <c r="D243" s="2" t="s">
        <v>22</v>
      </c>
      <c r="E243" s="2" t="str">
        <f>VLOOKUP(A243,'лист 2'!$A$3:$D$267,2,0)</f>
        <v>SQL</v>
      </c>
      <c r="F243" s="9">
        <f>VLOOKUP($A$3,'лист 2'!$A$3:$D$267,3,0)</f>
        <v>45020</v>
      </c>
      <c r="G243" s="9" t="str">
        <f>VLOOKUP($A$3,'лист 2'!$A$3:$D$267,4,0)</f>
        <v>вебинар</v>
      </c>
      <c r="H243" s="2">
        <f>VLOOKUP($E243,'лист 3'!$A$3:$B$7,2,0)</f>
        <v>500</v>
      </c>
      <c r="I243" s="10">
        <f>VLOOKUP($G243,'лист 3'!$E$3:$F$5,2,0)</f>
        <v>0.1</v>
      </c>
      <c r="J243" s="3">
        <f t="shared" si="3"/>
        <v>450</v>
      </c>
    </row>
    <row r="244" spans="1:10" x14ac:dyDescent="0.3">
      <c r="A244" s="2">
        <v>1061</v>
      </c>
      <c r="B244" t="s">
        <v>250</v>
      </c>
      <c r="C244" s="8">
        <v>24322</v>
      </c>
      <c r="D244" s="2" t="s">
        <v>19</v>
      </c>
      <c r="E244" s="2" t="str">
        <f>VLOOKUP(A244,'лист 2'!$A$3:$D$267,2,0)</f>
        <v>SQL</v>
      </c>
      <c r="F244" s="9">
        <f>VLOOKUP($A$3,'лист 2'!$A$3:$D$267,3,0)</f>
        <v>45020</v>
      </c>
      <c r="G244" s="9" t="str">
        <f>VLOOKUP($A$3,'лист 2'!$A$3:$D$267,4,0)</f>
        <v>вебинар</v>
      </c>
      <c r="H244" s="2">
        <f>VLOOKUP($E244,'лист 3'!$A$3:$B$7,2,0)</f>
        <v>500</v>
      </c>
      <c r="I244" s="10">
        <f>VLOOKUP($G244,'лист 3'!$E$3:$F$5,2,0)</f>
        <v>0.1</v>
      </c>
      <c r="J244" s="3">
        <f t="shared" si="3"/>
        <v>450</v>
      </c>
    </row>
    <row r="245" spans="1:10" x14ac:dyDescent="0.3">
      <c r="A245" s="2">
        <v>1066</v>
      </c>
      <c r="B245" t="s">
        <v>251</v>
      </c>
      <c r="C245" s="8">
        <v>21690</v>
      </c>
      <c r="D245" s="2" t="s">
        <v>22</v>
      </c>
      <c r="E245" s="2" t="str">
        <f>VLOOKUP(A245,'лист 2'!$A$3:$D$267,2,0)</f>
        <v>SQL</v>
      </c>
      <c r="F245" s="9">
        <f>VLOOKUP($A$3,'лист 2'!$A$3:$D$267,3,0)</f>
        <v>45020</v>
      </c>
      <c r="G245" s="9" t="str">
        <f>VLOOKUP($A$3,'лист 2'!$A$3:$D$267,4,0)</f>
        <v>вебинар</v>
      </c>
      <c r="H245" s="2">
        <f>VLOOKUP($E245,'лист 3'!$A$3:$B$7,2,0)</f>
        <v>500</v>
      </c>
      <c r="I245" s="10">
        <f>VLOOKUP($G245,'лист 3'!$E$3:$F$5,2,0)</f>
        <v>0.1</v>
      </c>
      <c r="J245" s="3">
        <f t="shared" si="3"/>
        <v>450</v>
      </c>
    </row>
    <row r="246" spans="1:10" x14ac:dyDescent="0.3">
      <c r="A246" s="2">
        <v>1071</v>
      </c>
      <c r="B246" t="s">
        <v>252</v>
      </c>
      <c r="C246" s="8">
        <v>28917</v>
      </c>
      <c r="D246" s="2" t="s">
        <v>19</v>
      </c>
      <c r="E246" s="2" t="str">
        <f>VLOOKUP(A246,'лист 2'!$A$3:$D$267,2,0)</f>
        <v>SQL</v>
      </c>
      <c r="F246" s="9">
        <f>VLOOKUP($A$3,'лист 2'!$A$3:$D$267,3,0)</f>
        <v>45020</v>
      </c>
      <c r="G246" s="9" t="str">
        <f>VLOOKUP($A$3,'лист 2'!$A$3:$D$267,4,0)</f>
        <v>вебинар</v>
      </c>
      <c r="H246" s="2">
        <f>VLOOKUP($E246,'лист 3'!$A$3:$B$7,2,0)</f>
        <v>500</v>
      </c>
      <c r="I246" s="10">
        <f>VLOOKUP($G246,'лист 3'!$E$3:$F$5,2,0)</f>
        <v>0.1</v>
      </c>
      <c r="J246" s="3">
        <f t="shared" si="3"/>
        <v>450</v>
      </c>
    </row>
    <row r="247" spans="1:10" x14ac:dyDescent="0.3">
      <c r="A247" s="2">
        <v>1076</v>
      </c>
      <c r="B247" t="s">
        <v>253</v>
      </c>
      <c r="C247" s="8">
        <v>23726</v>
      </c>
      <c r="D247" s="2" t="s">
        <v>22</v>
      </c>
      <c r="E247" s="2" t="str">
        <f>VLOOKUP(A247,'лист 2'!$A$3:$D$267,2,0)</f>
        <v>SQL</v>
      </c>
      <c r="F247" s="9">
        <f>VLOOKUP($A$3,'лист 2'!$A$3:$D$267,3,0)</f>
        <v>45020</v>
      </c>
      <c r="G247" s="9" t="str">
        <f>VLOOKUP($A$3,'лист 2'!$A$3:$D$267,4,0)</f>
        <v>вебинар</v>
      </c>
      <c r="H247" s="2">
        <f>VLOOKUP($E247,'лист 3'!$A$3:$B$7,2,0)</f>
        <v>500</v>
      </c>
      <c r="I247" s="10">
        <f>VLOOKUP($G247,'лист 3'!$E$3:$F$5,2,0)</f>
        <v>0.1</v>
      </c>
      <c r="J247" s="3">
        <f t="shared" si="3"/>
        <v>450</v>
      </c>
    </row>
    <row r="248" spans="1:10" x14ac:dyDescent="0.3">
      <c r="A248" s="2">
        <v>1081</v>
      </c>
      <c r="B248" t="s">
        <v>254</v>
      </c>
      <c r="C248" s="8">
        <v>37556</v>
      </c>
      <c r="D248" s="2" t="s">
        <v>19</v>
      </c>
      <c r="E248" s="2" t="str">
        <f>VLOOKUP(A248,'лист 2'!$A$3:$D$267,2,0)</f>
        <v>SQL</v>
      </c>
      <c r="F248" s="9">
        <f>VLOOKUP($A$3,'лист 2'!$A$3:$D$267,3,0)</f>
        <v>45020</v>
      </c>
      <c r="G248" s="9" t="str">
        <f>VLOOKUP($A$3,'лист 2'!$A$3:$D$267,4,0)</f>
        <v>вебинар</v>
      </c>
      <c r="H248" s="2">
        <f>VLOOKUP($E248,'лист 3'!$A$3:$B$7,2,0)</f>
        <v>500</v>
      </c>
      <c r="I248" s="10">
        <f>VLOOKUP($G248,'лист 3'!$E$3:$F$5,2,0)</f>
        <v>0.1</v>
      </c>
      <c r="J248" s="3">
        <f t="shared" si="3"/>
        <v>450</v>
      </c>
    </row>
    <row r="249" spans="1:10" x14ac:dyDescent="0.3">
      <c r="A249" s="2">
        <v>1086</v>
      </c>
      <c r="B249" t="s">
        <v>255</v>
      </c>
      <c r="C249" s="8">
        <v>38738</v>
      </c>
      <c r="D249" s="2" t="s">
        <v>22</v>
      </c>
      <c r="E249" s="2" t="str">
        <f>VLOOKUP(A249,'лист 2'!$A$3:$D$267,2,0)</f>
        <v>SQL</v>
      </c>
      <c r="F249" s="9">
        <f>VLOOKUP($A$3,'лист 2'!$A$3:$D$267,3,0)</f>
        <v>45020</v>
      </c>
      <c r="G249" s="9" t="str">
        <f>VLOOKUP($A$3,'лист 2'!$A$3:$D$267,4,0)</f>
        <v>вебинар</v>
      </c>
      <c r="H249" s="2">
        <f>VLOOKUP($E249,'лист 3'!$A$3:$B$7,2,0)</f>
        <v>500</v>
      </c>
      <c r="I249" s="10">
        <f>VLOOKUP($G249,'лист 3'!$E$3:$F$5,2,0)</f>
        <v>0.1</v>
      </c>
      <c r="J249" s="3">
        <f t="shared" si="3"/>
        <v>450</v>
      </c>
    </row>
    <row r="250" spans="1:10" x14ac:dyDescent="0.3">
      <c r="A250" s="2">
        <v>1538</v>
      </c>
      <c r="B250" t="s">
        <v>256</v>
      </c>
      <c r="C250" s="8">
        <v>38555</v>
      </c>
      <c r="D250" s="2" t="s">
        <v>79</v>
      </c>
      <c r="E250" s="2" t="str">
        <f>VLOOKUP(A250,'лист 2'!$A$3:$D$267,2,0)</f>
        <v>SQL</v>
      </c>
      <c r="F250" s="9">
        <f>VLOOKUP($A$3,'лист 2'!$A$3:$D$267,3,0)</f>
        <v>45020</v>
      </c>
      <c r="G250" s="9" t="str">
        <f>VLOOKUP($A$3,'лист 2'!$A$3:$D$267,4,0)</f>
        <v>вебинар</v>
      </c>
      <c r="H250" s="2">
        <f>VLOOKUP($E250,'лист 3'!$A$3:$B$7,2,0)</f>
        <v>500</v>
      </c>
      <c r="I250" s="10">
        <f>VLOOKUP($G250,'лист 3'!$E$3:$F$5,2,0)</f>
        <v>0.1</v>
      </c>
      <c r="J250" s="3">
        <f t="shared" si="3"/>
        <v>450</v>
      </c>
    </row>
    <row r="251" spans="1:10" x14ac:dyDescent="0.3">
      <c r="A251" s="2">
        <v>1116</v>
      </c>
      <c r="B251" t="s">
        <v>257</v>
      </c>
      <c r="C251" s="8">
        <v>25900</v>
      </c>
      <c r="D251" s="2" t="s">
        <v>19</v>
      </c>
      <c r="E251" s="2" t="str">
        <f>VLOOKUP(A251,'лист 2'!$A$3:$D$267,2,0)</f>
        <v>SQL</v>
      </c>
      <c r="F251" s="9">
        <f>VLOOKUP($A$3,'лист 2'!$A$3:$D$267,3,0)</f>
        <v>45020</v>
      </c>
      <c r="G251" s="9" t="str">
        <f>VLOOKUP($A$3,'лист 2'!$A$3:$D$267,4,0)</f>
        <v>вебинар</v>
      </c>
      <c r="H251" s="2">
        <f>VLOOKUP($E251,'лист 3'!$A$3:$B$7,2,0)</f>
        <v>500</v>
      </c>
      <c r="I251" s="10">
        <f>VLOOKUP($G251,'лист 3'!$E$3:$F$5,2,0)</f>
        <v>0.1</v>
      </c>
      <c r="J251" s="3">
        <f t="shared" si="3"/>
        <v>450</v>
      </c>
    </row>
    <row r="252" spans="1:10" x14ac:dyDescent="0.3">
      <c r="A252" s="2">
        <v>1121</v>
      </c>
      <c r="B252" t="s">
        <v>258</v>
      </c>
      <c r="C252" s="8">
        <v>36373</v>
      </c>
      <c r="D252" s="2" t="s">
        <v>81</v>
      </c>
      <c r="E252" s="2" t="str">
        <f>VLOOKUP(A252,'лист 2'!$A$3:$D$267,2,0)</f>
        <v>SQL</v>
      </c>
      <c r="F252" s="9">
        <f>VLOOKUP($A$3,'лист 2'!$A$3:$D$267,3,0)</f>
        <v>45020</v>
      </c>
      <c r="G252" s="9" t="str">
        <f>VLOOKUP($A$3,'лист 2'!$A$3:$D$267,4,0)</f>
        <v>вебинар</v>
      </c>
      <c r="H252" s="2">
        <f>VLOOKUP($E252,'лист 3'!$A$3:$B$7,2,0)</f>
        <v>500</v>
      </c>
      <c r="I252" s="10">
        <f>VLOOKUP($G252,'лист 3'!$E$3:$F$5,2,0)</f>
        <v>0.1</v>
      </c>
      <c r="J252" s="3">
        <f t="shared" si="3"/>
        <v>450</v>
      </c>
    </row>
    <row r="253" spans="1:10" x14ac:dyDescent="0.3">
      <c r="A253" s="2">
        <v>1221</v>
      </c>
      <c r="B253" t="s">
        <v>39</v>
      </c>
      <c r="C253" s="8">
        <v>30786</v>
      </c>
      <c r="D253" s="2" t="s">
        <v>81</v>
      </c>
      <c r="E253" s="2" t="str">
        <f>VLOOKUP(A253,'лист 2'!$A$3:$D$267,2,0)</f>
        <v>SQL</v>
      </c>
      <c r="F253" s="9">
        <f>VLOOKUP($A$3,'лист 2'!$A$3:$D$267,3,0)</f>
        <v>45020</v>
      </c>
      <c r="G253" s="9" t="str">
        <f>VLOOKUP($A$3,'лист 2'!$A$3:$D$267,4,0)</f>
        <v>вебинар</v>
      </c>
      <c r="H253" s="2">
        <f>VLOOKUP($E253,'лист 3'!$A$3:$B$7,2,0)</f>
        <v>500</v>
      </c>
      <c r="I253" s="10">
        <f>VLOOKUP($G253,'лист 3'!$E$3:$F$5,2,0)</f>
        <v>0.1</v>
      </c>
      <c r="J253" s="3">
        <f t="shared" si="3"/>
        <v>450</v>
      </c>
    </row>
    <row r="254" spans="1:10" x14ac:dyDescent="0.3">
      <c r="A254" s="2">
        <v>1301</v>
      </c>
      <c r="B254" t="s">
        <v>206</v>
      </c>
      <c r="C254" s="8">
        <v>33055</v>
      </c>
      <c r="D254" s="2" t="s">
        <v>22</v>
      </c>
      <c r="E254" s="2" t="str">
        <f>VLOOKUP(A254,'лист 2'!$A$3:$D$267,2,0)</f>
        <v>SQL</v>
      </c>
      <c r="F254" s="9">
        <f>VLOOKUP($A$3,'лист 2'!$A$3:$D$267,3,0)</f>
        <v>45020</v>
      </c>
      <c r="G254" s="9" t="str">
        <f>VLOOKUP($A$3,'лист 2'!$A$3:$D$267,4,0)</f>
        <v>вебинар</v>
      </c>
      <c r="H254" s="2">
        <f>VLOOKUP($E254,'лист 3'!$A$3:$B$7,2,0)</f>
        <v>500</v>
      </c>
      <c r="I254" s="10">
        <f>VLOOKUP($G254,'лист 3'!$E$3:$F$5,2,0)</f>
        <v>0.1</v>
      </c>
      <c r="J254" s="3">
        <f t="shared" si="3"/>
        <v>450</v>
      </c>
    </row>
    <row r="255" spans="1:10" x14ac:dyDescent="0.3">
      <c r="A255" s="2">
        <v>1366</v>
      </c>
      <c r="B255" t="s">
        <v>259</v>
      </c>
      <c r="C255" s="8">
        <v>30881</v>
      </c>
      <c r="D255" s="2" t="s">
        <v>19</v>
      </c>
      <c r="E255" s="2" t="str">
        <f>VLOOKUP(A255,'лист 2'!$A$3:$D$267,2,0)</f>
        <v>SQL</v>
      </c>
      <c r="F255" s="9">
        <f>VLOOKUP($A$3,'лист 2'!$A$3:$D$267,3,0)</f>
        <v>45020</v>
      </c>
      <c r="G255" s="9" t="str">
        <f>VLOOKUP($A$3,'лист 2'!$A$3:$D$267,4,0)</f>
        <v>вебинар</v>
      </c>
      <c r="H255" s="2">
        <f>VLOOKUP($E255,'лист 3'!$A$3:$B$7,2,0)</f>
        <v>500</v>
      </c>
      <c r="I255" s="10">
        <f>VLOOKUP($G255,'лист 3'!$E$3:$F$5,2,0)</f>
        <v>0.1</v>
      </c>
      <c r="J255" s="3">
        <f t="shared" si="3"/>
        <v>450</v>
      </c>
    </row>
    <row r="256" spans="1:10" x14ac:dyDescent="0.3">
      <c r="A256" s="2">
        <v>1403</v>
      </c>
      <c r="B256" t="s">
        <v>260</v>
      </c>
      <c r="C256" s="8">
        <v>31536</v>
      </c>
      <c r="D256" s="2" t="s">
        <v>22</v>
      </c>
      <c r="E256" s="2" t="str">
        <f>VLOOKUP(A256,'лист 2'!$A$3:$D$267,2,0)</f>
        <v>SQL</v>
      </c>
      <c r="F256" s="9">
        <f>VLOOKUP($A$3,'лист 2'!$A$3:$D$267,3,0)</f>
        <v>45020</v>
      </c>
      <c r="G256" s="9" t="str">
        <f>VLOOKUP($A$3,'лист 2'!$A$3:$D$267,4,0)</f>
        <v>вебинар</v>
      </c>
      <c r="H256" s="2">
        <f>VLOOKUP($E256,'лист 3'!$A$3:$B$7,2,0)</f>
        <v>500</v>
      </c>
      <c r="I256" s="10">
        <f>VLOOKUP($G256,'лист 3'!$E$3:$F$5,2,0)</f>
        <v>0.1</v>
      </c>
      <c r="J256" s="3">
        <f t="shared" si="3"/>
        <v>450</v>
      </c>
    </row>
    <row r="257" spans="1:10" x14ac:dyDescent="0.3">
      <c r="A257" s="2">
        <v>1426</v>
      </c>
      <c r="B257" t="s">
        <v>261</v>
      </c>
      <c r="C257" s="8">
        <v>31005</v>
      </c>
      <c r="D257" s="2" t="s">
        <v>22</v>
      </c>
      <c r="E257" s="2" t="str">
        <f>VLOOKUP(A257,'лист 2'!$A$3:$D$267,2,0)</f>
        <v>SQL</v>
      </c>
      <c r="F257" s="9">
        <f>VLOOKUP($A$3,'лист 2'!$A$3:$D$267,3,0)</f>
        <v>45020</v>
      </c>
      <c r="G257" s="9" t="str">
        <f>VLOOKUP($A$3,'лист 2'!$A$3:$D$267,4,0)</f>
        <v>вебинар</v>
      </c>
      <c r="H257" s="2">
        <f>VLOOKUP($E257,'лист 3'!$A$3:$B$7,2,0)</f>
        <v>500</v>
      </c>
      <c r="I257" s="10">
        <f>VLOOKUP($G257,'лист 3'!$E$3:$F$5,2,0)</f>
        <v>0.1</v>
      </c>
      <c r="J257" s="3">
        <f t="shared" si="3"/>
        <v>450</v>
      </c>
    </row>
    <row r="258" spans="1:10" x14ac:dyDescent="0.3">
      <c r="A258" s="2">
        <v>1444</v>
      </c>
      <c r="B258" t="s">
        <v>262</v>
      </c>
      <c r="C258" s="8">
        <v>26631</v>
      </c>
      <c r="D258" s="2" t="s">
        <v>19</v>
      </c>
      <c r="E258" s="2" t="str">
        <f>VLOOKUP(A258,'лист 2'!$A$3:$D$267,2,0)</f>
        <v>SQL</v>
      </c>
      <c r="F258" s="9">
        <f>VLOOKUP($A$3,'лист 2'!$A$3:$D$267,3,0)</f>
        <v>45020</v>
      </c>
      <c r="G258" s="9" t="str">
        <f>VLOOKUP($A$3,'лист 2'!$A$3:$D$267,4,0)</f>
        <v>вебинар</v>
      </c>
      <c r="H258" s="2">
        <f>VLOOKUP($E258,'лист 3'!$A$3:$B$7,2,0)</f>
        <v>500</v>
      </c>
      <c r="I258" s="10">
        <f>VLOOKUP($G258,'лист 3'!$E$3:$F$5,2,0)</f>
        <v>0.1</v>
      </c>
      <c r="J258" s="3">
        <f t="shared" si="3"/>
        <v>450</v>
      </c>
    </row>
    <row r="259" spans="1:10" x14ac:dyDescent="0.3">
      <c r="A259" s="2">
        <v>1368</v>
      </c>
      <c r="B259" t="s">
        <v>263</v>
      </c>
      <c r="C259" s="8">
        <v>22392</v>
      </c>
      <c r="D259" s="2" t="s">
        <v>72</v>
      </c>
      <c r="E259" s="2" t="str">
        <f>VLOOKUP(A259,'лист 2'!$A$3:$D$267,2,0)</f>
        <v>SQL</v>
      </c>
      <c r="F259" s="9">
        <f>VLOOKUP($A$3,'лист 2'!$A$3:$D$267,3,0)</f>
        <v>45020</v>
      </c>
      <c r="G259" s="9" t="str">
        <f>VLOOKUP($A$3,'лист 2'!$A$3:$D$267,4,0)</f>
        <v>вебинар</v>
      </c>
      <c r="H259" s="2">
        <f>VLOOKUP($E259,'лист 3'!$A$3:$B$7,2,0)</f>
        <v>500</v>
      </c>
      <c r="I259" s="10">
        <f>VLOOKUP($G259,'лист 3'!$E$3:$F$5,2,0)</f>
        <v>0.1</v>
      </c>
      <c r="J259" s="3">
        <f t="shared" si="3"/>
        <v>450</v>
      </c>
    </row>
    <row r="260" spans="1:10" x14ac:dyDescent="0.3">
      <c r="A260" s="2">
        <v>1393</v>
      </c>
      <c r="B260" t="s">
        <v>264</v>
      </c>
      <c r="C260" s="8">
        <v>31824</v>
      </c>
      <c r="D260" s="2" t="s">
        <v>19</v>
      </c>
      <c r="E260" s="2" t="str">
        <f>VLOOKUP(A260,'лист 2'!$A$3:$D$267,2,0)</f>
        <v>SQL</v>
      </c>
      <c r="F260" s="9">
        <f>VLOOKUP($A$3,'лист 2'!$A$3:$D$267,3,0)</f>
        <v>45020</v>
      </c>
      <c r="G260" s="9" t="str">
        <f>VLOOKUP($A$3,'лист 2'!$A$3:$D$267,4,0)</f>
        <v>вебинар</v>
      </c>
      <c r="H260" s="2">
        <f>VLOOKUP($E260,'лист 3'!$A$3:$B$7,2,0)</f>
        <v>500</v>
      </c>
      <c r="I260" s="10">
        <f>VLOOKUP($G260,'лист 3'!$E$3:$F$5,2,0)</f>
        <v>0.1</v>
      </c>
      <c r="J260" s="3">
        <f t="shared" ref="J260:J267" si="4">H260-H260*I260</f>
        <v>450</v>
      </c>
    </row>
    <row r="261" spans="1:10" x14ac:dyDescent="0.3">
      <c r="A261" s="2">
        <v>1474</v>
      </c>
      <c r="B261" t="s">
        <v>265</v>
      </c>
      <c r="C261" s="8">
        <v>36118</v>
      </c>
      <c r="D261" s="2" t="s">
        <v>22</v>
      </c>
      <c r="E261" s="2" t="str">
        <f>VLOOKUP(A261,'лист 2'!$A$3:$D$267,2,0)</f>
        <v>SQL</v>
      </c>
      <c r="F261" s="9">
        <f>VLOOKUP($A$3,'лист 2'!$A$3:$D$267,3,0)</f>
        <v>45020</v>
      </c>
      <c r="G261" s="9" t="str">
        <f>VLOOKUP($A$3,'лист 2'!$A$3:$D$267,4,0)</f>
        <v>вебинар</v>
      </c>
      <c r="H261" s="2">
        <f>VLOOKUP($E261,'лист 3'!$A$3:$B$7,2,0)</f>
        <v>500</v>
      </c>
      <c r="I261" s="10">
        <f>VLOOKUP($G261,'лист 3'!$E$3:$F$5,2,0)</f>
        <v>0.1</v>
      </c>
      <c r="J261" s="3">
        <f t="shared" si="4"/>
        <v>450</v>
      </c>
    </row>
    <row r="262" spans="1:10" x14ac:dyDescent="0.3">
      <c r="A262" s="2">
        <v>1398</v>
      </c>
      <c r="B262" t="s">
        <v>266</v>
      </c>
      <c r="C262" s="8">
        <v>25444</v>
      </c>
      <c r="D262" s="2" t="s">
        <v>19</v>
      </c>
      <c r="E262" s="2" t="str">
        <f>VLOOKUP(A262,'лист 2'!$A$3:$D$267,2,0)</f>
        <v>SQL</v>
      </c>
      <c r="F262" s="9">
        <f>VLOOKUP($A$3,'лист 2'!$A$3:$D$267,3,0)</f>
        <v>45020</v>
      </c>
      <c r="G262" s="9" t="str">
        <f>VLOOKUP($A$3,'лист 2'!$A$3:$D$267,4,0)</f>
        <v>вебинар</v>
      </c>
      <c r="H262" s="2">
        <f>VLOOKUP($E262,'лист 3'!$A$3:$B$7,2,0)</f>
        <v>500</v>
      </c>
      <c r="I262" s="10">
        <f>VLOOKUP($G262,'лист 3'!$E$3:$F$5,2,0)</f>
        <v>0.1</v>
      </c>
      <c r="J262" s="3">
        <f t="shared" si="4"/>
        <v>450</v>
      </c>
    </row>
    <row r="263" spans="1:10" x14ac:dyDescent="0.3">
      <c r="A263" s="2">
        <v>1441</v>
      </c>
      <c r="B263" t="s">
        <v>146</v>
      </c>
      <c r="C263" s="8">
        <v>35966</v>
      </c>
      <c r="D263" s="2" t="s">
        <v>22</v>
      </c>
      <c r="E263" s="2" t="str">
        <f>VLOOKUP(A263,'лист 2'!$A$3:$D$267,2,0)</f>
        <v>SQL</v>
      </c>
      <c r="F263" s="9">
        <f>VLOOKUP($A$3,'лист 2'!$A$3:$D$267,3,0)</f>
        <v>45020</v>
      </c>
      <c r="G263" s="9" t="str">
        <f>VLOOKUP($A$3,'лист 2'!$A$3:$D$267,4,0)</f>
        <v>вебинар</v>
      </c>
      <c r="H263" s="2">
        <f>VLOOKUP($E263,'лист 3'!$A$3:$B$7,2,0)</f>
        <v>500</v>
      </c>
      <c r="I263" s="10">
        <f>VLOOKUP($G263,'лист 3'!$E$3:$F$5,2,0)</f>
        <v>0.1</v>
      </c>
      <c r="J263" s="3">
        <f t="shared" si="4"/>
        <v>450</v>
      </c>
    </row>
    <row r="264" spans="1:10" x14ac:dyDescent="0.3">
      <c r="A264" s="2">
        <v>1578</v>
      </c>
      <c r="B264" t="s">
        <v>267</v>
      </c>
      <c r="C264" s="8">
        <v>22562</v>
      </c>
      <c r="D264" s="2" t="s">
        <v>19</v>
      </c>
      <c r="E264" s="2" t="str">
        <f>VLOOKUP(A264,'лист 2'!$A$3:$D$267,2,0)</f>
        <v>SQL</v>
      </c>
      <c r="F264" s="9">
        <f>VLOOKUP($A$3,'лист 2'!$A$3:$D$267,3,0)</f>
        <v>45020</v>
      </c>
      <c r="G264" s="9" t="str">
        <f>VLOOKUP($A$3,'лист 2'!$A$3:$D$267,4,0)</f>
        <v>вебинар</v>
      </c>
      <c r="H264" s="2">
        <f>VLOOKUP($E264,'лист 3'!$A$3:$B$7,2,0)</f>
        <v>500</v>
      </c>
      <c r="I264" s="10">
        <f>VLOOKUP($G264,'лист 3'!$E$3:$F$5,2,0)</f>
        <v>0.1</v>
      </c>
      <c r="J264" s="3">
        <f t="shared" si="4"/>
        <v>450</v>
      </c>
    </row>
    <row r="265" spans="1:10" x14ac:dyDescent="0.3">
      <c r="A265" s="2">
        <v>1361</v>
      </c>
      <c r="B265" t="s">
        <v>45</v>
      </c>
      <c r="C265" s="8">
        <v>26021</v>
      </c>
      <c r="D265" s="2" t="s">
        <v>22</v>
      </c>
      <c r="E265" s="2" t="str">
        <f>VLOOKUP(A265,'лист 2'!$A$3:$D$267,2,0)</f>
        <v>SQL</v>
      </c>
      <c r="F265" s="9">
        <f>VLOOKUP($A$3,'лист 2'!$A$3:$D$267,3,0)</f>
        <v>45020</v>
      </c>
      <c r="G265" s="9" t="str">
        <f>VLOOKUP($A$3,'лист 2'!$A$3:$D$267,4,0)</f>
        <v>вебинар</v>
      </c>
      <c r="H265" s="2">
        <f>VLOOKUP($E265,'лист 3'!$A$3:$B$7,2,0)</f>
        <v>500</v>
      </c>
      <c r="I265" s="10">
        <f>VLOOKUP($G265,'лист 3'!$E$3:$F$5,2,0)</f>
        <v>0.1</v>
      </c>
      <c r="J265" s="3">
        <f t="shared" si="4"/>
        <v>450</v>
      </c>
    </row>
    <row r="266" spans="1:10" x14ac:dyDescent="0.3">
      <c r="A266" s="2">
        <v>1459</v>
      </c>
      <c r="B266" t="s">
        <v>177</v>
      </c>
      <c r="C266" s="8">
        <v>38813</v>
      </c>
      <c r="D266" s="2" t="s">
        <v>19</v>
      </c>
      <c r="E266" s="2" t="str">
        <f>VLOOKUP(A266,'лист 2'!$A$3:$D$267,2,0)</f>
        <v>SQL</v>
      </c>
      <c r="F266" s="9">
        <f>VLOOKUP($A$3,'лист 2'!$A$3:$D$267,3,0)</f>
        <v>45020</v>
      </c>
      <c r="G266" s="9" t="str">
        <f>VLOOKUP($A$3,'лист 2'!$A$3:$D$267,4,0)</f>
        <v>вебинар</v>
      </c>
      <c r="H266" s="2">
        <f>VLOOKUP($E266,'лист 3'!$A$3:$B$7,2,0)</f>
        <v>500</v>
      </c>
      <c r="I266" s="10">
        <f>VLOOKUP($G266,'лист 3'!$E$3:$F$5,2,0)</f>
        <v>0.1</v>
      </c>
      <c r="J266" s="3">
        <f t="shared" si="4"/>
        <v>450</v>
      </c>
    </row>
    <row r="267" spans="1:10" x14ac:dyDescent="0.3">
      <c r="A267" s="2">
        <v>1206</v>
      </c>
      <c r="B267" t="s">
        <v>30</v>
      </c>
      <c r="C267" s="8">
        <v>33249</v>
      </c>
      <c r="D267" s="2" t="s">
        <v>81</v>
      </c>
      <c r="E267" s="2" t="str">
        <f>VLOOKUP(A267,'лист 2'!$A$3:$D$267,2,0)</f>
        <v>SQL</v>
      </c>
      <c r="F267" s="9">
        <f>VLOOKUP($A$3,'лист 2'!$A$3:$D$267,3,0)</f>
        <v>45020</v>
      </c>
      <c r="G267" s="9" t="str">
        <f>VLOOKUP($A$3,'лист 2'!$A$3:$D$267,4,0)</f>
        <v>вебинар</v>
      </c>
      <c r="H267" s="2">
        <f>VLOOKUP($E267,'лист 3'!$A$3:$B$7,2,0)</f>
        <v>500</v>
      </c>
      <c r="I267" s="10">
        <f>VLOOKUP($G267,'лист 3'!$E$3:$F$5,2,0)</f>
        <v>0.1</v>
      </c>
      <c r="J267" s="3">
        <f t="shared" si="4"/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6595-E38D-4D00-ADCF-6923F05F275B}">
  <dimension ref="A1:D267"/>
  <sheetViews>
    <sheetView workbookViewId="0">
      <selection activeCell="E95" sqref="E95"/>
    </sheetView>
  </sheetViews>
  <sheetFormatPr defaultRowHeight="14.4" x14ac:dyDescent="0.3"/>
  <cols>
    <col min="1" max="1" width="10.33203125" style="2" bestFit="1" customWidth="1"/>
    <col min="2" max="2" width="14" bestFit="1" customWidth="1"/>
    <col min="3" max="3" width="11.77734375" bestFit="1" customWidth="1"/>
    <col min="4" max="4" width="11" bestFit="1" customWidth="1"/>
  </cols>
  <sheetData>
    <row r="1" spans="1:4" ht="13.2" customHeight="1" x14ac:dyDescent="0.3">
      <c r="A1" s="12"/>
    </row>
    <row r="2" spans="1:4" x14ac:dyDescent="0.3">
      <c r="A2" s="13" t="s">
        <v>1</v>
      </c>
      <c r="B2" s="14" t="s">
        <v>268</v>
      </c>
      <c r="C2" s="14" t="s">
        <v>269</v>
      </c>
      <c r="D2" s="14" t="s">
        <v>270</v>
      </c>
    </row>
    <row r="3" spans="1:4" x14ac:dyDescent="0.3">
      <c r="A3" s="2">
        <v>1542</v>
      </c>
      <c r="B3" t="s">
        <v>271</v>
      </c>
      <c r="C3" s="8">
        <v>45020</v>
      </c>
      <c r="D3" t="s">
        <v>272</v>
      </c>
    </row>
    <row r="4" spans="1:4" x14ac:dyDescent="0.3">
      <c r="A4" s="2">
        <v>1547</v>
      </c>
      <c r="B4" t="s">
        <v>271</v>
      </c>
      <c r="C4" s="8">
        <v>45055</v>
      </c>
      <c r="D4" t="s">
        <v>272</v>
      </c>
    </row>
    <row r="5" spans="1:4" x14ac:dyDescent="0.3">
      <c r="A5" s="2">
        <v>1185</v>
      </c>
      <c r="B5" t="s">
        <v>271</v>
      </c>
      <c r="C5" s="8">
        <v>44928</v>
      </c>
      <c r="D5" t="s">
        <v>272</v>
      </c>
    </row>
    <row r="6" spans="1:4" x14ac:dyDescent="0.3">
      <c r="A6" s="2">
        <v>1190</v>
      </c>
      <c r="B6" t="s">
        <v>271</v>
      </c>
      <c r="C6" s="8">
        <v>44933</v>
      </c>
      <c r="D6" t="s">
        <v>272</v>
      </c>
    </row>
    <row r="7" spans="1:4" x14ac:dyDescent="0.3">
      <c r="A7" s="2">
        <v>1195</v>
      </c>
      <c r="B7" t="s">
        <v>271</v>
      </c>
      <c r="C7" s="8">
        <v>45089</v>
      </c>
      <c r="D7" t="s">
        <v>272</v>
      </c>
    </row>
    <row r="8" spans="1:4" x14ac:dyDescent="0.3">
      <c r="A8" s="2">
        <v>1210</v>
      </c>
      <c r="B8" t="s">
        <v>271</v>
      </c>
      <c r="C8" s="8">
        <v>45104</v>
      </c>
      <c r="D8" t="s">
        <v>272</v>
      </c>
    </row>
    <row r="9" spans="1:4" x14ac:dyDescent="0.3">
      <c r="A9" s="2">
        <v>1215</v>
      </c>
      <c r="B9" t="s">
        <v>271</v>
      </c>
      <c r="C9" s="8">
        <v>45109</v>
      </c>
      <c r="D9" t="s">
        <v>272</v>
      </c>
    </row>
    <row r="10" spans="1:4" x14ac:dyDescent="0.3">
      <c r="A10" s="2">
        <v>1290</v>
      </c>
      <c r="B10" t="s">
        <v>271</v>
      </c>
      <c r="C10" s="8">
        <v>45113</v>
      </c>
      <c r="D10" t="s">
        <v>272</v>
      </c>
    </row>
    <row r="11" spans="1:4" x14ac:dyDescent="0.3">
      <c r="A11" s="2">
        <v>1220</v>
      </c>
      <c r="B11" t="s">
        <v>271</v>
      </c>
      <c r="C11" s="8">
        <v>45114</v>
      </c>
      <c r="D11" t="s">
        <v>272</v>
      </c>
    </row>
    <row r="12" spans="1:4" x14ac:dyDescent="0.3">
      <c r="A12" s="2">
        <v>1295</v>
      </c>
      <c r="B12" t="s">
        <v>271</v>
      </c>
      <c r="C12" s="8">
        <v>45149</v>
      </c>
      <c r="D12" t="s">
        <v>272</v>
      </c>
    </row>
    <row r="13" spans="1:4" x14ac:dyDescent="0.3">
      <c r="A13" s="2">
        <v>1310</v>
      </c>
      <c r="B13" t="s">
        <v>271</v>
      </c>
      <c r="C13" s="8">
        <v>45122</v>
      </c>
      <c r="D13" t="s">
        <v>272</v>
      </c>
    </row>
    <row r="14" spans="1:4" x14ac:dyDescent="0.3">
      <c r="A14" s="2">
        <v>1552</v>
      </c>
      <c r="B14" t="s">
        <v>271</v>
      </c>
      <c r="C14" s="8">
        <v>45179</v>
      </c>
      <c r="D14" t="s">
        <v>272</v>
      </c>
    </row>
    <row r="15" spans="1:4" x14ac:dyDescent="0.3">
      <c r="A15" s="2">
        <v>1200</v>
      </c>
      <c r="B15" t="s">
        <v>271</v>
      </c>
      <c r="C15" s="8">
        <v>45277</v>
      </c>
      <c r="D15" t="s">
        <v>272</v>
      </c>
    </row>
    <row r="16" spans="1:4" x14ac:dyDescent="0.3">
      <c r="A16" s="2">
        <v>1205</v>
      </c>
      <c r="B16" t="s">
        <v>271</v>
      </c>
      <c r="C16" s="8">
        <v>45282</v>
      </c>
      <c r="D16" t="s">
        <v>272</v>
      </c>
    </row>
    <row r="17" spans="1:4" x14ac:dyDescent="0.3">
      <c r="A17" s="2">
        <v>1300</v>
      </c>
      <c r="B17" t="s">
        <v>271</v>
      </c>
      <c r="C17" s="8">
        <v>45032</v>
      </c>
      <c r="D17" t="s">
        <v>273</v>
      </c>
    </row>
    <row r="18" spans="1:4" x14ac:dyDescent="0.3">
      <c r="A18" s="2">
        <v>1557</v>
      </c>
      <c r="B18" t="s">
        <v>271</v>
      </c>
      <c r="C18" s="8">
        <v>45034</v>
      </c>
      <c r="D18" t="s">
        <v>273</v>
      </c>
    </row>
    <row r="19" spans="1:4" x14ac:dyDescent="0.3">
      <c r="A19" s="2">
        <v>1315</v>
      </c>
      <c r="B19" t="s">
        <v>271</v>
      </c>
      <c r="C19" s="8">
        <v>45074</v>
      </c>
      <c r="D19" t="s">
        <v>273</v>
      </c>
    </row>
    <row r="20" spans="1:4" x14ac:dyDescent="0.3">
      <c r="A20" s="2">
        <v>1320</v>
      </c>
      <c r="B20" t="s">
        <v>271</v>
      </c>
      <c r="C20" s="8">
        <v>45149</v>
      </c>
      <c r="D20" t="s">
        <v>273</v>
      </c>
    </row>
    <row r="21" spans="1:4" x14ac:dyDescent="0.3">
      <c r="A21" s="2">
        <v>1372</v>
      </c>
      <c r="B21" t="s">
        <v>274</v>
      </c>
      <c r="C21" s="8">
        <v>45189</v>
      </c>
      <c r="D21" t="s">
        <v>272</v>
      </c>
    </row>
    <row r="22" spans="1:4" x14ac:dyDescent="0.3">
      <c r="A22" s="2">
        <v>1430</v>
      </c>
      <c r="B22" t="s">
        <v>274</v>
      </c>
      <c r="C22" s="8">
        <v>45198</v>
      </c>
      <c r="D22" t="s">
        <v>272</v>
      </c>
    </row>
    <row r="23" spans="1:4" x14ac:dyDescent="0.3">
      <c r="A23" s="2">
        <v>1448</v>
      </c>
      <c r="B23" t="s">
        <v>274</v>
      </c>
      <c r="C23" s="8">
        <v>45202</v>
      </c>
      <c r="D23" t="s">
        <v>272</v>
      </c>
    </row>
    <row r="24" spans="1:4" x14ac:dyDescent="0.3">
      <c r="A24" s="2">
        <v>1435</v>
      </c>
      <c r="B24" t="s">
        <v>274</v>
      </c>
      <c r="C24" s="8">
        <v>45234</v>
      </c>
      <c r="D24" t="s">
        <v>272</v>
      </c>
    </row>
    <row r="25" spans="1:4" x14ac:dyDescent="0.3">
      <c r="A25" s="2">
        <v>1453</v>
      </c>
      <c r="B25" t="s">
        <v>274</v>
      </c>
      <c r="C25" s="8">
        <v>45239</v>
      </c>
      <c r="D25" t="s">
        <v>272</v>
      </c>
    </row>
    <row r="26" spans="1:4" x14ac:dyDescent="0.3">
      <c r="A26" s="2">
        <v>1004</v>
      </c>
      <c r="B26" t="s">
        <v>274</v>
      </c>
      <c r="C26" s="8">
        <v>44936</v>
      </c>
      <c r="D26" t="s">
        <v>272</v>
      </c>
    </row>
    <row r="27" spans="1:4" x14ac:dyDescent="0.3">
      <c r="A27" s="2">
        <v>1009</v>
      </c>
      <c r="B27" t="s">
        <v>274</v>
      </c>
      <c r="C27" s="8">
        <v>44939</v>
      </c>
      <c r="D27" t="s">
        <v>272</v>
      </c>
    </row>
    <row r="28" spans="1:4" x14ac:dyDescent="0.3">
      <c r="A28" s="2">
        <v>1029</v>
      </c>
      <c r="B28" t="s">
        <v>274</v>
      </c>
      <c r="C28" s="8">
        <v>44941</v>
      </c>
      <c r="D28" t="s">
        <v>272</v>
      </c>
    </row>
    <row r="29" spans="1:4" x14ac:dyDescent="0.3">
      <c r="A29" s="2">
        <v>1035</v>
      </c>
      <c r="B29" t="s">
        <v>274</v>
      </c>
      <c r="C29" s="8">
        <v>44944</v>
      </c>
      <c r="D29" t="s">
        <v>272</v>
      </c>
    </row>
    <row r="30" spans="1:4" x14ac:dyDescent="0.3">
      <c r="A30" s="2">
        <v>1043</v>
      </c>
      <c r="B30" t="s">
        <v>274</v>
      </c>
      <c r="C30" s="8">
        <v>44946</v>
      </c>
      <c r="D30" t="s">
        <v>272</v>
      </c>
    </row>
    <row r="31" spans="1:4" x14ac:dyDescent="0.3">
      <c r="A31" s="2">
        <v>1051</v>
      </c>
      <c r="B31" t="s">
        <v>274</v>
      </c>
      <c r="C31" s="8">
        <v>44949</v>
      </c>
      <c r="D31" t="s">
        <v>272</v>
      </c>
    </row>
    <row r="32" spans="1:4" x14ac:dyDescent="0.3">
      <c r="A32" s="2">
        <v>1054</v>
      </c>
      <c r="B32" t="s">
        <v>274</v>
      </c>
      <c r="C32" s="8">
        <v>44951</v>
      </c>
      <c r="D32" t="s">
        <v>272</v>
      </c>
    </row>
    <row r="33" spans="1:4" x14ac:dyDescent="0.3">
      <c r="A33" s="2">
        <v>1058</v>
      </c>
      <c r="B33" t="s">
        <v>274</v>
      </c>
      <c r="C33" s="8">
        <v>44954</v>
      </c>
      <c r="D33" t="s">
        <v>272</v>
      </c>
    </row>
    <row r="34" spans="1:4" x14ac:dyDescent="0.3">
      <c r="A34" s="2">
        <v>1062</v>
      </c>
      <c r="B34" t="s">
        <v>274</v>
      </c>
      <c r="C34" s="8">
        <v>44956</v>
      </c>
      <c r="D34" t="s">
        <v>272</v>
      </c>
    </row>
    <row r="35" spans="1:4" x14ac:dyDescent="0.3">
      <c r="A35" s="2">
        <v>1065</v>
      </c>
      <c r="B35" t="s">
        <v>274</v>
      </c>
      <c r="C35" s="8">
        <v>44959</v>
      </c>
      <c r="D35" t="s">
        <v>272</v>
      </c>
    </row>
    <row r="36" spans="1:4" x14ac:dyDescent="0.3">
      <c r="A36" s="2">
        <v>1067</v>
      </c>
      <c r="B36" t="s">
        <v>274</v>
      </c>
      <c r="C36" s="8">
        <v>44961</v>
      </c>
      <c r="D36" t="s">
        <v>272</v>
      </c>
    </row>
    <row r="37" spans="1:4" x14ac:dyDescent="0.3">
      <c r="A37" s="2">
        <v>1072</v>
      </c>
      <c r="B37" t="s">
        <v>274</v>
      </c>
      <c r="C37" s="8">
        <v>44968</v>
      </c>
      <c r="D37" t="s">
        <v>272</v>
      </c>
    </row>
    <row r="38" spans="1:4" x14ac:dyDescent="0.3">
      <c r="A38" s="2">
        <v>1075</v>
      </c>
      <c r="B38" t="s">
        <v>274</v>
      </c>
      <c r="C38" s="8">
        <v>44971</v>
      </c>
      <c r="D38" t="s">
        <v>272</v>
      </c>
    </row>
    <row r="39" spans="1:4" x14ac:dyDescent="0.3">
      <c r="A39" s="2">
        <v>1077</v>
      </c>
      <c r="B39" t="s">
        <v>274</v>
      </c>
      <c r="C39" s="8">
        <v>44973</v>
      </c>
      <c r="D39" t="s">
        <v>272</v>
      </c>
    </row>
    <row r="40" spans="1:4" x14ac:dyDescent="0.3">
      <c r="A40" s="2">
        <v>1080</v>
      </c>
      <c r="B40" t="s">
        <v>274</v>
      </c>
      <c r="C40" s="8">
        <v>44976</v>
      </c>
      <c r="D40" t="s">
        <v>272</v>
      </c>
    </row>
    <row r="41" spans="1:4" x14ac:dyDescent="0.3">
      <c r="A41" s="2">
        <v>1082</v>
      </c>
      <c r="B41" t="s">
        <v>274</v>
      </c>
      <c r="C41" s="8">
        <v>44978</v>
      </c>
      <c r="D41" t="s">
        <v>272</v>
      </c>
    </row>
    <row r="42" spans="1:4" x14ac:dyDescent="0.3">
      <c r="A42" s="2">
        <v>1085</v>
      </c>
      <c r="B42" t="s">
        <v>274</v>
      </c>
      <c r="C42" s="8">
        <v>44981</v>
      </c>
      <c r="D42" t="s">
        <v>272</v>
      </c>
    </row>
    <row r="43" spans="1:4" x14ac:dyDescent="0.3">
      <c r="A43" s="2">
        <v>1539</v>
      </c>
      <c r="B43" t="s">
        <v>274</v>
      </c>
      <c r="C43" s="8">
        <v>44998</v>
      </c>
      <c r="D43" t="s">
        <v>272</v>
      </c>
    </row>
    <row r="44" spans="1:4" x14ac:dyDescent="0.3">
      <c r="A44" s="2">
        <v>1115</v>
      </c>
      <c r="B44" t="s">
        <v>274</v>
      </c>
      <c r="C44" s="8">
        <v>45009</v>
      </c>
      <c r="D44" t="s">
        <v>272</v>
      </c>
    </row>
    <row r="45" spans="1:4" x14ac:dyDescent="0.3">
      <c r="A45" s="2">
        <v>1117</v>
      </c>
      <c r="B45" t="s">
        <v>274</v>
      </c>
      <c r="C45" s="8">
        <v>45011</v>
      </c>
      <c r="D45" t="s">
        <v>272</v>
      </c>
    </row>
    <row r="46" spans="1:4" x14ac:dyDescent="0.3">
      <c r="A46" s="2">
        <v>1120</v>
      </c>
      <c r="B46" t="s">
        <v>274</v>
      </c>
      <c r="C46" s="8">
        <v>45014</v>
      </c>
      <c r="D46" t="s">
        <v>272</v>
      </c>
    </row>
    <row r="47" spans="1:4" x14ac:dyDescent="0.3">
      <c r="A47" s="2">
        <v>1122</v>
      </c>
      <c r="B47" t="s">
        <v>274</v>
      </c>
      <c r="C47" s="8">
        <v>45016</v>
      </c>
      <c r="D47" t="s">
        <v>272</v>
      </c>
    </row>
    <row r="48" spans="1:4" x14ac:dyDescent="0.3">
      <c r="A48" s="2">
        <v>1292</v>
      </c>
      <c r="B48" t="s">
        <v>274</v>
      </c>
      <c r="C48" s="8">
        <v>45024</v>
      </c>
      <c r="D48" t="s">
        <v>272</v>
      </c>
    </row>
    <row r="49" spans="1:4" x14ac:dyDescent="0.3">
      <c r="A49" s="2">
        <v>1544</v>
      </c>
      <c r="B49" t="s">
        <v>274</v>
      </c>
      <c r="C49" s="8">
        <v>45035</v>
      </c>
      <c r="D49" t="s">
        <v>272</v>
      </c>
    </row>
    <row r="50" spans="1:4" x14ac:dyDescent="0.3">
      <c r="A50" s="2">
        <v>1312</v>
      </c>
      <c r="B50" t="s">
        <v>274</v>
      </c>
      <c r="C50" s="8">
        <v>45036</v>
      </c>
      <c r="D50" t="s">
        <v>272</v>
      </c>
    </row>
    <row r="51" spans="1:4" x14ac:dyDescent="0.3">
      <c r="A51" s="2">
        <v>1549</v>
      </c>
      <c r="B51" t="s">
        <v>274</v>
      </c>
      <c r="C51" s="8">
        <v>45069</v>
      </c>
      <c r="D51" t="s">
        <v>272</v>
      </c>
    </row>
    <row r="52" spans="1:4" x14ac:dyDescent="0.3">
      <c r="A52" s="2">
        <v>1187</v>
      </c>
      <c r="B52" t="s">
        <v>274</v>
      </c>
      <c r="C52" s="8">
        <v>44930</v>
      </c>
      <c r="D52" t="s">
        <v>272</v>
      </c>
    </row>
    <row r="53" spans="1:4" x14ac:dyDescent="0.3">
      <c r="A53" s="2">
        <v>1192</v>
      </c>
      <c r="B53" t="s">
        <v>274</v>
      </c>
      <c r="C53" s="8">
        <v>45086</v>
      </c>
      <c r="D53" t="s">
        <v>272</v>
      </c>
    </row>
    <row r="54" spans="1:4" x14ac:dyDescent="0.3">
      <c r="A54" s="2">
        <v>1197</v>
      </c>
      <c r="B54" t="s">
        <v>274</v>
      </c>
      <c r="C54" s="8">
        <v>45091</v>
      </c>
      <c r="D54" t="s">
        <v>275</v>
      </c>
    </row>
    <row r="55" spans="1:4" x14ac:dyDescent="0.3">
      <c r="A55" s="2">
        <v>1554</v>
      </c>
      <c r="B55" t="s">
        <v>274</v>
      </c>
      <c r="C55" s="8">
        <v>45104</v>
      </c>
      <c r="D55" t="s">
        <v>275</v>
      </c>
    </row>
    <row r="56" spans="1:4" x14ac:dyDescent="0.3">
      <c r="A56" s="2">
        <v>1212</v>
      </c>
      <c r="B56" t="s">
        <v>274</v>
      </c>
      <c r="C56" s="8">
        <v>45106</v>
      </c>
      <c r="D56" t="s">
        <v>275</v>
      </c>
    </row>
    <row r="57" spans="1:4" x14ac:dyDescent="0.3">
      <c r="A57" s="2">
        <v>1217</v>
      </c>
      <c r="B57" t="s">
        <v>274</v>
      </c>
      <c r="C57" s="8">
        <v>45111</v>
      </c>
      <c r="D57" t="s">
        <v>275</v>
      </c>
    </row>
    <row r="58" spans="1:4" x14ac:dyDescent="0.3">
      <c r="A58" s="2">
        <v>1297</v>
      </c>
      <c r="B58" t="s">
        <v>274</v>
      </c>
      <c r="C58" s="8">
        <v>45120</v>
      </c>
      <c r="D58" t="s">
        <v>275</v>
      </c>
    </row>
    <row r="59" spans="1:4" x14ac:dyDescent="0.3">
      <c r="A59" s="2">
        <v>1559</v>
      </c>
      <c r="B59" t="s">
        <v>274</v>
      </c>
      <c r="C59" s="8">
        <v>45139</v>
      </c>
      <c r="D59" t="s">
        <v>275</v>
      </c>
    </row>
    <row r="60" spans="1:4" x14ac:dyDescent="0.3">
      <c r="A60" s="2">
        <v>1317</v>
      </c>
      <c r="B60" t="s">
        <v>274</v>
      </c>
      <c r="C60" s="8">
        <v>45140</v>
      </c>
      <c r="D60" t="s">
        <v>275</v>
      </c>
    </row>
    <row r="61" spans="1:4" x14ac:dyDescent="0.3">
      <c r="A61" s="2">
        <v>1384</v>
      </c>
      <c r="B61" t="s">
        <v>274</v>
      </c>
      <c r="C61" s="8">
        <v>45225</v>
      </c>
      <c r="D61" t="s">
        <v>275</v>
      </c>
    </row>
    <row r="62" spans="1:4" x14ac:dyDescent="0.3">
      <c r="A62" s="2">
        <v>1389</v>
      </c>
      <c r="B62" t="s">
        <v>274</v>
      </c>
      <c r="C62" s="8">
        <v>45240</v>
      </c>
      <c r="D62" t="s">
        <v>275</v>
      </c>
    </row>
    <row r="63" spans="1:4" x14ac:dyDescent="0.3">
      <c r="A63" s="2">
        <v>1437</v>
      </c>
      <c r="B63" t="s">
        <v>274</v>
      </c>
      <c r="C63" s="8">
        <v>45247</v>
      </c>
      <c r="D63" t="s">
        <v>275</v>
      </c>
    </row>
    <row r="64" spans="1:4" x14ac:dyDescent="0.3">
      <c r="A64" s="2">
        <v>1473</v>
      </c>
      <c r="B64" t="s">
        <v>274</v>
      </c>
      <c r="C64" s="8">
        <v>45259</v>
      </c>
      <c r="D64" t="s">
        <v>275</v>
      </c>
    </row>
    <row r="65" spans="1:4" x14ac:dyDescent="0.3">
      <c r="A65" s="2">
        <v>1577</v>
      </c>
      <c r="B65" t="s">
        <v>274</v>
      </c>
      <c r="C65" s="8">
        <v>45265</v>
      </c>
      <c r="D65" t="s">
        <v>275</v>
      </c>
    </row>
    <row r="66" spans="1:4" x14ac:dyDescent="0.3">
      <c r="A66" s="2">
        <v>1360</v>
      </c>
      <c r="B66" t="s">
        <v>274</v>
      </c>
      <c r="C66" s="8">
        <v>45270</v>
      </c>
      <c r="D66" t="s">
        <v>275</v>
      </c>
    </row>
    <row r="67" spans="1:4" x14ac:dyDescent="0.3">
      <c r="A67" s="2">
        <v>1458</v>
      </c>
      <c r="B67" t="s">
        <v>274</v>
      </c>
      <c r="C67" s="8">
        <v>45274</v>
      </c>
      <c r="D67" t="s">
        <v>275</v>
      </c>
    </row>
    <row r="68" spans="1:4" x14ac:dyDescent="0.3">
      <c r="A68" s="2">
        <v>1202</v>
      </c>
      <c r="B68" t="s">
        <v>274</v>
      </c>
      <c r="C68" s="8">
        <v>45279</v>
      </c>
      <c r="D68" t="s">
        <v>275</v>
      </c>
    </row>
    <row r="69" spans="1:4" x14ac:dyDescent="0.3">
      <c r="A69" s="2">
        <v>1402</v>
      </c>
      <c r="B69" t="s">
        <v>274</v>
      </c>
      <c r="C69" s="8">
        <v>45279</v>
      </c>
      <c r="D69" t="s">
        <v>275</v>
      </c>
    </row>
    <row r="70" spans="1:4" x14ac:dyDescent="0.3">
      <c r="A70" s="2">
        <v>1207</v>
      </c>
      <c r="B70" t="s">
        <v>274</v>
      </c>
      <c r="C70" s="8">
        <v>45284</v>
      </c>
      <c r="D70" t="s">
        <v>275</v>
      </c>
    </row>
    <row r="71" spans="1:4" x14ac:dyDescent="0.3">
      <c r="A71" s="2">
        <v>1365</v>
      </c>
      <c r="B71" t="s">
        <v>274</v>
      </c>
      <c r="C71" s="8">
        <v>45285</v>
      </c>
      <c r="D71" t="s">
        <v>275</v>
      </c>
    </row>
    <row r="72" spans="1:4" x14ac:dyDescent="0.3">
      <c r="A72" s="2">
        <v>1322</v>
      </c>
      <c r="B72" t="s">
        <v>274</v>
      </c>
      <c r="C72" s="8">
        <v>45154</v>
      </c>
      <c r="D72" t="s">
        <v>273</v>
      </c>
    </row>
    <row r="73" spans="1:4" x14ac:dyDescent="0.3">
      <c r="A73" s="2">
        <v>1562</v>
      </c>
      <c r="B73" t="s">
        <v>274</v>
      </c>
      <c r="C73" s="8">
        <v>45160</v>
      </c>
      <c r="D73" t="s">
        <v>273</v>
      </c>
    </row>
    <row r="74" spans="1:4" x14ac:dyDescent="0.3">
      <c r="A74" s="2">
        <v>1564</v>
      </c>
      <c r="B74" t="s">
        <v>274</v>
      </c>
      <c r="C74" s="8">
        <v>45174</v>
      </c>
      <c r="D74" t="s">
        <v>273</v>
      </c>
    </row>
    <row r="75" spans="1:4" x14ac:dyDescent="0.3">
      <c r="A75" s="2">
        <v>1427</v>
      </c>
      <c r="B75" t="s">
        <v>274</v>
      </c>
      <c r="C75" s="8">
        <v>45180</v>
      </c>
      <c r="D75" t="s">
        <v>273</v>
      </c>
    </row>
    <row r="76" spans="1:4" x14ac:dyDescent="0.3">
      <c r="A76" s="2">
        <v>1369</v>
      </c>
      <c r="B76" t="s">
        <v>274</v>
      </c>
      <c r="C76" s="8">
        <v>45180</v>
      </c>
      <c r="D76" t="s">
        <v>273</v>
      </c>
    </row>
    <row r="77" spans="1:4" x14ac:dyDescent="0.3">
      <c r="A77" s="2">
        <v>1445</v>
      </c>
      <c r="B77" t="s">
        <v>274</v>
      </c>
      <c r="C77" s="8">
        <v>45182</v>
      </c>
      <c r="D77" t="s">
        <v>273</v>
      </c>
    </row>
    <row r="78" spans="1:4" x14ac:dyDescent="0.3">
      <c r="A78" s="2">
        <v>1463</v>
      </c>
      <c r="B78" t="s">
        <v>274</v>
      </c>
      <c r="C78" s="8">
        <v>45187</v>
      </c>
      <c r="D78" t="s">
        <v>273</v>
      </c>
    </row>
    <row r="79" spans="1:4" x14ac:dyDescent="0.3">
      <c r="A79" s="2">
        <v>1374</v>
      </c>
      <c r="B79" t="s">
        <v>274</v>
      </c>
      <c r="C79" s="8">
        <v>45195</v>
      </c>
      <c r="D79" t="s">
        <v>273</v>
      </c>
    </row>
    <row r="80" spans="1:4" x14ac:dyDescent="0.3">
      <c r="A80" s="2">
        <v>1567</v>
      </c>
      <c r="B80" t="s">
        <v>274</v>
      </c>
      <c r="C80" s="8">
        <v>45195</v>
      </c>
      <c r="D80" t="s">
        <v>273</v>
      </c>
    </row>
    <row r="81" spans="1:4" x14ac:dyDescent="0.3">
      <c r="A81" s="2">
        <v>1465</v>
      </c>
      <c r="B81" t="s">
        <v>274</v>
      </c>
      <c r="C81" s="8">
        <v>45202</v>
      </c>
      <c r="D81" t="s">
        <v>273</v>
      </c>
    </row>
    <row r="82" spans="1:4" x14ac:dyDescent="0.3">
      <c r="A82" s="2">
        <v>1377</v>
      </c>
      <c r="B82" t="s">
        <v>274</v>
      </c>
      <c r="C82" s="8">
        <v>45204</v>
      </c>
      <c r="D82" t="s">
        <v>273</v>
      </c>
    </row>
    <row r="83" spans="1:4" x14ac:dyDescent="0.3">
      <c r="A83" s="2">
        <v>1569</v>
      </c>
      <c r="B83" t="s">
        <v>274</v>
      </c>
      <c r="C83" s="8">
        <v>45209</v>
      </c>
      <c r="D83" t="s">
        <v>273</v>
      </c>
    </row>
    <row r="84" spans="1:4" x14ac:dyDescent="0.3">
      <c r="A84" s="2">
        <v>1379</v>
      </c>
      <c r="B84" t="s">
        <v>274</v>
      </c>
      <c r="C84" s="8">
        <v>45210</v>
      </c>
      <c r="D84" t="s">
        <v>273</v>
      </c>
    </row>
    <row r="85" spans="1:4" x14ac:dyDescent="0.3">
      <c r="A85" s="2">
        <v>1432</v>
      </c>
      <c r="B85" t="s">
        <v>274</v>
      </c>
      <c r="C85" s="8">
        <v>45211</v>
      </c>
      <c r="D85" t="s">
        <v>273</v>
      </c>
    </row>
    <row r="86" spans="1:4" x14ac:dyDescent="0.3">
      <c r="A86" s="2">
        <v>1450</v>
      </c>
      <c r="B86" t="s">
        <v>274</v>
      </c>
      <c r="C86" s="8">
        <v>45217</v>
      </c>
      <c r="D86" t="s">
        <v>273</v>
      </c>
    </row>
    <row r="87" spans="1:4" x14ac:dyDescent="0.3">
      <c r="A87" s="2">
        <v>1382</v>
      </c>
      <c r="B87" t="s">
        <v>274</v>
      </c>
      <c r="C87" s="8">
        <v>45219</v>
      </c>
      <c r="D87" t="s">
        <v>273</v>
      </c>
    </row>
    <row r="88" spans="1:4" x14ac:dyDescent="0.3">
      <c r="A88" s="2">
        <v>1468</v>
      </c>
      <c r="B88" t="s">
        <v>274</v>
      </c>
      <c r="C88" s="8">
        <v>45223</v>
      </c>
      <c r="D88" t="s">
        <v>273</v>
      </c>
    </row>
    <row r="89" spans="1:4" x14ac:dyDescent="0.3">
      <c r="A89" s="2">
        <v>1572</v>
      </c>
      <c r="B89" t="s">
        <v>274</v>
      </c>
      <c r="C89" s="8">
        <v>45230</v>
      </c>
      <c r="D89" t="s">
        <v>273</v>
      </c>
    </row>
    <row r="90" spans="1:4" x14ac:dyDescent="0.3">
      <c r="A90" s="2">
        <v>1387</v>
      </c>
      <c r="B90" t="s">
        <v>274</v>
      </c>
      <c r="C90" s="8">
        <v>45234</v>
      </c>
      <c r="D90" t="s">
        <v>273</v>
      </c>
    </row>
    <row r="91" spans="1:4" x14ac:dyDescent="0.3">
      <c r="A91" s="2">
        <v>1470</v>
      </c>
      <c r="B91" t="s">
        <v>274</v>
      </c>
      <c r="C91" s="8">
        <v>45238</v>
      </c>
      <c r="D91" t="s">
        <v>273</v>
      </c>
    </row>
    <row r="92" spans="1:4" x14ac:dyDescent="0.3">
      <c r="A92" s="2">
        <v>1574</v>
      </c>
      <c r="B92" t="s">
        <v>274</v>
      </c>
      <c r="C92" s="8">
        <v>45244</v>
      </c>
      <c r="D92" t="s">
        <v>273</v>
      </c>
    </row>
    <row r="93" spans="1:4" x14ac:dyDescent="0.3">
      <c r="A93" s="2">
        <v>1392</v>
      </c>
      <c r="B93" t="s">
        <v>274</v>
      </c>
      <c r="C93" s="8">
        <v>45249</v>
      </c>
      <c r="D93" t="s">
        <v>273</v>
      </c>
    </row>
    <row r="94" spans="1:4" x14ac:dyDescent="0.3">
      <c r="A94" s="2">
        <v>1440</v>
      </c>
      <c r="B94" t="s">
        <v>274</v>
      </c>
      <c r="C94" s="8">
        <v>45262</v>
      </c>
      <c r="D94" t="s">
        <v>273</v>
      </c>
    </row>
    <row r="95" spans="1:4" x14ac:dyDescent="0.3">
      <c r="A95" s="2">
        <v>1397</v>
      </c>
      <c r="B95" t="s">
        <v>276</v>
      </c>
      <c r="C95" s="8">
        <v>45264</v>
      </c>
      <c r="D95" t="s">
        <v>273</v>
      </c>
    </row>
    <row r="96" spans="1:4" x14ac:dyDescent="0.3">
      <c r="A96" s="2">
        <v>1546</v>
      </c>
      <c r="B96" t="s">
        <v>276</v>
      </c>
      <c r="C96" s="8">
        <v>45048</v>
      </c>
      <c r="D96" t="s">
        <v>275</v>
      </c>
    </row>
    <row r="97" spans="1:4" x14ac:dyDescent="0.3">
      <c r="A97" s="2">
        <v>1475</v>
      </c>
      <c r="B97" t="s">
        <v>276</v>
      </c>
      <c r="C97" s="8">
        <v>45059</v>
      </c>
      <c r="D97" t="s">
        <v>275</v>
      </c>
    </row>
    <row r="98" spans="1:4" x14ac:dyDescent="0.3">
      <c r="A98" s="2">
        <v>1204</v>
      </c>
      <c r="B98" t="s">
        <v>276</v>
      </c>
      <c r="C98" s="8">
        <v>44947</v>
      </c>
      <c r="D98" t="s">
        <v>275</v>
      </c>
    </row>
    <row r="99" spans="1:4" x14ac:dyDescent="0.3">
      <c r="A99" s="2">
        <v>1209</v>
      </c>
      <c r="B99" t="s">
        <v>276</v>
      </c>
      <c r="C99" s="8">
        <v>44952</v>
      </c>
      <c r="D99" t="s">
        <v>275</v>
      </c>
    </row>
    <row r="100" spans="1:4" x14ac:dyDescent="0.3">
      <c r="A100" s="2">
        <v>1222</v>
      </c>
      <c r="B100" t="s">
        <v>276</v>
      </c>
      <c r="C100" s="8">
        <v>45147</v>
      </c>
      <c r="D100" t="s">
        <v>275</v>
      </c>
    </row>
    <row r="101" spans="1:4" x14ac:dyDescent="0.3">
      <c r="A101" s="2">
        <v>1394</v>
      </c>
      <c r="B101" t="s">
        <v>276</v>
      </c>
      <c r="C101" s="8">
        <v>45255</v>
      </c>
      <c r="D101" t="s">
        <v>275</v>
      </c>
    </row>
    <row r="102" spans="1:4" x14ac:dyDescent="0.3">
      <c r="A102" s="2">
        <v>1399</v>
      </c>
      <c r="B102" t="s">
        <v>276</v>
      </c>
      <c r="C102" s="8">
        <v>45270</v>
      </c>
      <c r="D102" t="s">
        <v>275</v>
      </c>
    </row>
    <row r="103" spans="1:4" x14ac:dyDescent="0.3">
      <c r="A103" s="2">
        <v>1362</v>
      </c>
      <c r="B103" t="s">
        <v>276</v>
      </c>
      <c r="C103" s="8">
        <v>45276</v>
      </c>
      <c r="D103" t="s">
        <v>275</v>
      </c>
    </row>
    <row r="104" spans="1:4" x14ac:dyDescent="0.3">
      <c r="A104" s="2">
        <v>1442</v>
      </c>
      <c r="B104" t="s">
        <v>276</v>
      </c>
      <c r="C104" s="8">
        <v>45278</v>
      </c>
      <c r="D104" t="s">
        <v>275</v>
      </c>
    </row>
    <row r="105" spans="1:4" x14ac:dyDescent="0.3">
      <c r="A105" s="2">
        <v>1579</v>
      </c>
      <c r="B105" t="s">
        <v>276</v>
      </c>
      <c r="C105" s="8">
        <v>45279</v>
      </c>
      <c r="D105" t="s">
        <v>275</v>
      </c>
    </row>
    <row r="106" spans="1:4" x14ac:dyDescent="0.3">
      <c r="A106" s="2">
        <v>1006</v>
      </c>
      <c r="B106" t="s">
        <v>276</v>
      </c>
      <c r="C106" s="8">
        <v>44937</v>
      </c>
      <c r="D106" t="s">
        <v>272</v>
      </c>
    </row>
    <row r="107" spans="1:4" x14ac:dyDescent="0.3">
      <c r="A107" s="2">
        <v>1033</v>
      </c>
      <c r="B107" t="s">
        <v>276</v>
      </c>
      <c r="C107" s="8">
        <v>44943</v>
      </c>
      <c r="D107" t="s">
        <v>272</v>
      </c>
    </row>
    <row r="108" spans="1:4" x14ac:dyDescent="0.3">
      <c r="A108" s="2">
        <v>1047</v>
      </c>
      <c r="B108" t="s">
        <v>276</v>
      </c>
      <c r="C108" s="8">
        <v>44948</v>
      </c>
      <c r="D108" t="s">
        <v>272</v>
      </c>
    </row>
    <row r="109" spans="1:4" x14ac:dyDescent="0.3">
      <c r="A109" s="2">
        <v>1057</v>
      </c>
      <c r="B109" t="s">
        <v>276</v>
      </c>
      <c r="C109" s="8">
        <v>44953</v>
      </c>
      <c r="D109" t="s">
        <v>272</v>
      </c>
    </row>
    <row r="110" spans="1:4" x14ac:dyDescent="0.3">
      <c r="A110" s="2">
        <v>1064</v>
      </c>
      <c r="B110" t="s">
        <v>276</v>
      </c>
      <c r="C110" s="8">
        <v>44958</v>
      </c>
      <c r="D110" t="s">
        <v>272</v>
      </c>
    </row>
    <row r="111" spans="1:4" x14ac:dyDescent="0.3">
      <c r="A111" s="2">
        <v>1069</v>
      </c>
      <c r="B111" t="s">
        <v>276</v>
      </c>
      <c r="C111" s="8">
        <v>44963</v>
      </c>
      <c r="D111" t="s">
        <v>272</v>
      </c>
    </row>
    <row r="112" spans="1:4" x14ac:dyDescent="0.3">
      <c r="A112" s="2">
        <v>1308</v>
      </c>
      <c r="B112" t="s">
        <v>276</v>
      </c>
      <c r="C112" s="8">
        <v>45024</v>
      </c>
      <c r="D112" t="s">
        <v>272</v>
      </c>
    </row>
    <row r="113" spans="1:4" x14ac:dyDescent="0.3">
      <c r="A113" s="2">
        <v>1545</v>
      </c>
      <c r="B113" t="s">
        <v>276</v>
      </c>
      <c r="C113" s="8">
        <v>45042</v>
      </c>
      <c r="D113" t="s">
        <v>272</v>
      </c>
    </row>
    <row r="114" spans="1:4" x14ac:dyDescent="0.3">
      <c r="A114" s="2">
        <v>1550</v>
      </c>
      <c r="B114" t="s">
        <v>276</v>
      </c>
      <c r="C114" s="8">
        <v>45076</v>
      </c>
      <c r="D114" t="s">
        <v>272</v>
      </c>
    </row>
    <row r="115" spans="1:4" x14ac:dyDescent="0.3">
      <c r="A115" s="2">
        <v>1188</v>
      </c>
      <c r="B115" t="s">
        <v>276</v>
      </c>
      <c r="C115" s="8">
        <v>45082</v>
      </c>
      <c r="D115" t="s">
        <v>272</v>
      </c>
    </row>
    <row r="116" spans="1:4" x14ac:dyDescent="0.3">
      <c r="A116" s="2">
        <v>1193</v>
      </c>
      <c r="B116" t="s">
        <v>276</v>
      </c>
      <c r="C116" s="8">
        <v>45087</v>
      </c>
      <c r="D116" t="s">
        <v>272</v>
      </c>
    </row>
    <row r="117" spans="1:4" x14ac:dyDescent="0.3">
      <c r="A117" s="2">
        <v>1203</v>
      </c>
      <c r="B117" t="s">
        <v>276</v>
      </c>
      <c r="C117" s="8">
        <v>45097</v>
      </c>
      <c r="D117" t="s">
        <v>272</v>
      </c>
    </row>
    <row r="118" spans="1:4" x14ac:dyDescent="0.3">
      <c r="A118" s="2">
        <v>1213</v>
      </c>
      <c r="B118" t="s">
        <v>276</v>
      </c>
      <c r="C118" s="8">
        <v>45107</v>
      </c>
      <c r="D118" t="s">
        <v>272</v>
      </c>
    </row>
    <row r="119" spans="1:4" x14ac:dyDescent="0.3">
      <c r="A119" s="2">
        <v>1555</v>
      </c>
      <c r="B119" t="s">
        <v>276</v>
      </c>
      <c r="C119" s="8">
        <v>45111</v>
      </c>
      <c r="D119" t="s">
        <v>272</v>
      </c>
    </row>
    <row r="120" spans="1:4" x14ac:dyDescent="0.3">
      <c r="A120" s="2">
        <v>1218</v>
      </c>
      <c r="B120" t="s">
        <v>276</v>
      </c>
      <c r="C120" s="8">
        <v>45112</v>
      </c>
      <c r="D120" t="s">
        <v>272</v>
      </c>
    </row>
    <row r="121" spans="1:4" x14ac:dyDescent="0.3">
      <c r="A121" s="2">
        <v>1293</v>
      </c>
      <c r="B121" t="s">
        <v>276</v>
      </c>
      <c r="C121" s="8">
        <v>45147</v>
      </c>
      <c r="D121" t="s">
        <v>272</v>
      </c>
    </row>
    <row r="122" spans="1:4" x14ac:dyDescent="0.3">
      <c r="A122" s="2">
        <v>1560</v>
      </c>
      <c r="B122" t="s">
        <v>276</v>
      </c>
      <c r="C122" s="8">
        <v>45146</v>
      </c>
      <c r="D122" t="s">
        <v>272</v>
      </c>
    </row>
    <row r="123" spans="1:4" x14ac:dyDescent="0.3">
      <c r="A123" s="2">
        <v>1323</v>
      </c>
      <c r="B123" t="s">
        <v>276</v>
      </c>
      <c r="C123" s="8">
        <v>45157</v>
      </c>
      <c r="D123" t="s">
        <v>272</v>
      </c>
    </row>
    <row r="124" spans="1:4" x14ac:dyDescent="0.3">
      <c r="A124" s="2">
        <v>1461</v>
      </c>
      <c r="B124" t="s">
        <v>276</v>
      </c>
      <c r="C124" s="8">
        <v>45173</v>
      </c>
      <c r="D124" t="s">
        <v>272</v>
      </c>
    </row>
    <row r="125" spans="1:4" x14ac:dyDescent="0.3">
      <c r="A125" s="2">
        <v>1565</v>
      </c>
      <c r="B125" t="s">
        <v>276</v>
      </c>
      <c r="C125" s="8">
        <v>45181</v>
      </c>
      <c r="D125" t="s">
        <v>272</v>
      </c>
    </row>
    <row r="126" spans="1:4" x14ac:dyDescent="0.3">
      <c r="A126" s="2">
        <v>1370</v>
      </c>
      <c r="B126" t="s">
        <v>276</v>
      </c>
      <c r="C126" s="8">
        <v>45183</v>
      </c>
      <c r="D126" t="s">
        <v>272</v>
      </c>
    </row>
    <row r="127" spans="1:4" x14ac:dyDescent="0.3">
      <c r="A127" s="2">
        <v>1198</v>
      </c>
      <c r="B127" t="s">
        <v>276</v>
      </c>
      <c r="C127" s="8">
        <v>45184</v>
      </c>
      <c r="D127" t="s">
        <v>272</v>
      </c>
    </row>
    <row r="128" spans="1:4" x14ac:dyDescent="0.3">
      <c r="A128" s="2">
        <v>1208</v>
      </c>
      <c r="B128" t="s">
        <v>276</v>
      </c>
      <c r="C128" s="8">
        <v>45285</v>
      </c>
      <c r="D128" t="s">
        <v>272</v>
      </c>
    </row>
    <row r="129" spans="1:4" x14ac:dyDescent="0.3">
      <c r="A129" s="2">
        <v>1007</v>
      </c>
      <c r="B129" t="s">
        <v>276</v>
      </c>
      <c r="C129" s="8">
        <v>44938</v>
      </c>
      <c r="D129" t="s">
        <v>272</v>
      </c>
    </row>
    <row r="130" spans="1:4" x14ac:dyDescent="0.3">
      <c r="A130" s="2">
        <v>1031</v>
      </c>
      <c r="B130" t="s">
        <v>276</v>
      </c>
      <c r="C130" s="8">
        <v>44942</v>
      </c>
      <c r="D130" t="s">
        <v>272</v>
      </c>
    </row>
    <row r="131" spans="1:4" x14ac:dyDescent="0.3">
      <c r="A131" s="2">
        <v>1045</v>
      </c>
      <c r="B131" t="s">
        <v>276</v>
      </c>
      <c r="C131" s="8">
        <v>44947</v>
      </c>
      <c r="D131" t="s">
        <v>272</v>
      </c>
    </row>
    <row r="132" spans="1:4" x14ac:dyDescent="0.3">
      <c r="A132" s="2">
        <v>1056</v>
      </c>
      <c r="B132" t="s">
        <v>276</v>
      </c>
      <c r="C132" s="8">
        <v>44952</v>
      </c>
      <c r="D132" t="s">
        <v>272</v>
      </c>
    </row>
    <row r="133" spans="1:4" x14ac:dyDescent="0.3">
      <c r="A133" s="2">
        <v>1063</v>
      </c>
      <c r="B133" t="s">
        <v>276</v>
      </c>
      <c r="C133" s="8">
        <v>44957</v>
      </c>
      <c r="D133" t="s">
        <v>272</v>
      </c>
    </row>
    <row r="134" spans="1:4" x14ac:dyDescent="0.3">
      <c r="A134" s="2">
        <v>1073</v>
      </c>
      <c r="B134" t="s">
        <v>276</v>
      </c>
      <c r="C134" s="8">
        <v>44969</v>
      </c>
      <c r="D134" t="s">
        <v>272</v>
      </c>
    </row>
    <row r="135" spans="1:4" x14ac:dyDescent="0.3">
      <c r="A135" s="2">
        <v>1074</v>
      </c>
      <c r="B135" t="s">
        <v>276</v>
      </c>
      <c r="C135" s="8">
        <v>44970</v>
      </c>
      <c r="D135" t="s">
        <v>272</v>
      </c>
    </row>
    <row r="136" spans="1:4" x14ac:dyDescent="0.3">
      <c r="A136" s="2">
        <v>1078</v>
      </c>
      <c r="B136" t="s">
        <v>276</v>
      </c>
      <c r="C136" s="8">
        <v>44974</v>
      </c>
      <c r="D136" t="s">
        <v>272</v>
      </c>
    </row>
    <row r="137" spans="1:4" x14ac:dyDescent="0.3">
      <c r="A137" s="2">
        <v>1079</v>
      </c>
      <c r="B137" t="s">
        <v>276</v>
      </c>
      <c r="C137" s="8">
        <v>44975</v>
      </c>
      <c r="D137" t="s">
        <v>273</v>
      </c>
    </row>
    <row r="138" spans="1:4" x14ac:dyDescent="0.3">
      <c r="A138" s="2">
        <v>1083</v>
      </c>
      <c r="B138" t="s">
        <v>276</v>
      </c>
      <c r="C138" s="8">
        <v>44979</v>
      </c>
      <c r="D138" t="s">
        <v>273</v>
      </c>
    </row>
    <row r="139" spans="1:4" x14ac:dyDescent="0.3">
      <c r="A139" s="2">
        <v>1084</v>
      </c>
      <c r="B139" t="s">
        <v>276</v>
      </c>
      <c r="C139" s="8">
        <v>44980</v>
      </c>
      <c r="D139" t="s">
        <v>273</v>
      </c>
    </row>
    <row r="140" spans="1:4" x14ac:dyDescent="0.3">
      <c r="A140" s="2">
        <v>1068</v>
      </c>
      <c r="B140" t="s">
        <v>276</v>
      </c>
      <c r="C140" s="8">
        <v>44990</v>
      </c>
      <c r="D140" t="s">
        <v>273</v>
      </c>
    </row>
    <row r="141" spans="1:4" x14ac:dyDescent="0.3">
      <c r="A141" s="2">
        <v>1540</v>
      </c>
      <c r="B141" t="s">
        <v>276</v>
      </c>
      <c r="C141" s="8">
        <v>45006</v>
      </c>
      <c r="D141" t="s">
        <v>273</v>
      </c>
    </row>
    <row r="142" spans="1:4" x14ac:dyDescent="0.3">
      <c r="A142" s="2">
        <v>1113</v>
      </c>
      <c r="B142" t="s">
        <v>276</v>
      </c>
      <c r="C142" s="8">
        <v>45007</v>
      </c>
      <c r="D142" t="s">
        <v>273</v>
      </c>
    </row>
    <row r="143" spans="1:4" x14ac:dyDescent="0.3">
      <c r="A143" s="2">
        <v>1114</v>
      </c>
      <c r="B143" t="s">
        <v>276</v>
      </c>
      <c r="C143" s="8">
        <v>45008</v>
      </c>
      <c r="D143" t="s">
        <v>273</v>
      </c>
    </row>
    <row r="144" spans="1:4" x14ac:dyDescent="0.3">
      <c r="A144" s="2">
        <v>1118</v>
      </c>
      <c r="B144" t="s">
        <v>276</v>
      </c>
      <c r="C144" s="8">
        <v>45012</v>
      </c>
      <c r="D144" t="s">
        <v>273</v>
      </c>
    </row>
    <row r="145" spans="1:4" x14ac:dyDescent="0.3">
      <c r="A145" s="2">
        <v>1119</v>
      </c>
      <c r="B145" t="s">
        <v>276</v>
      </c>
      <c r="C145" s="8">
        <v>45013</v>
      </c>
      <c r="D145" t="s">
        <v>273</v>
      </c>
    </row>
    <row r="146" spans="1:4" x14ac:dyDescent="0.3">
      <c r="A146" s="2">
        <v>1313</v>
      </c>
      <c r="B146" t="s">
        <v>276</v>
      </c>
      <c r="C146" s="8">
        <v>45039</v>
      </c>
      <c r="D146" t="s">
        <v>273</v>
      </c>
    </row>
    <row r="147" spans="1:4" x14ac:dyDescent="0.3">
      <c r="A147" s="2">
        <v>1298</v>
      </c>
      <c r="B147" t="s">
        <v>276</v>
      </c>
      <c r="C147" s="8">
        <v>45121</v>
      </c>
      <c r="D147" t="s">
        <v>273</v>
      </c>
    </row>
    <row r="148" spans="1:4" x14ac:dyDescent="0.3">
      <c r="A148" s="2">
        <v>1318</v>
      </c>
      <c r="B148" t="s">
        <v>276</v>
      </c>
      <c r="C148" s="8">
        <v>45143</v>
      </c>
      <c r="D148" t="s">
        <v>273</v>
      </c>
    </row>
    <row r="149" spans="1:4" x14ac:dyDescent="0.3">
      <c r="A149" s="2">
        <v>1541</v>
      </c>
      <c r="B149" t="s">
        <v>276</v>
      </c>
      <c r="C149" s="8">
        <v>45013</v>
      </c>
      <c r="D149" t="s">
        <v>273</v>
      </c>
    </row>
    <row r="150" spans="1:4" x14ac:dyDescent="0.3">
      <c r="A150" s="2">
        <v>1581</v>
      </c>
      <c r="B150" t="s">
        <v>276</v>
      </c>
      <c r="C150" s="8">
        <v>45025</v>
      </c>
      <c r="D150" t="s">
        <v>273</v>
      </c>
    </row>
    <row r="151" spans="1:4" x14ac:dyDescent="0.3">
      <c r="A151" s="2">
        <v>1460</v>
      </c>
      <c r="B151" t="s">
        <v>276</v>
      </c>
      <c r="C151" s="8">
        <v>45044</v>
      </c>
      <c r="D151" t="s">
        <v>273</v>
      </c>
    </row>
    <row r="152" spans="1:4" x14ac:dyDescent="0.3">
      <c r="A152" s="2">
        <v>1405</v>
      </c>
      <c r="B152" t="s">
        <v>276</v>
      </c>
      <c r="C152" s="8">
        <v>45044</v>
      </c>
      <c r="D152" t="s">
        <v>273</v>
      </c>
    </row>
    <row r="153" spans="1:4" x14ac:dyDescent="0.3">
      <c r="A153" s="2">
        <v>1314</v>
      </c>
      <c r="B153" t="s">
        <v>276</v>
      </c>
      <c r="C153" s="8">
        <v>45071</v>
      </c>
      <c r="D153" t="s">
        <v>273</v>
      </c>
    </row>
    <row r="154" spans="1:4" x14ac:dyDescent="0.3">
      <c r="A154" s="2">
        <v>1443</v>
      </c>
      <c r="B154" t="s">
        <v>276</v>
      </c>
      <c r="C154" s="8">
        <v>45073</v>
      </c>
      <c r="D154" t="s">
        <v>273</v>
      </c>
    </row>
    <row r="155" spans="1:4" x14ac:dyDescent="0.3">
      <c r="A155" s="2">
        <v>1184</v>
      </c>
      <c r="B155" t="s">
        <v>276</v>
      </c>
      <c r="C155" s="8">
        <v>45078</v>
      </c>
      <c r="D155" t="s">
        <v>273</v>
      </c>
    </row>
    <row r="156" spans="1:4" x14ac:dyDescent="0.3">
      <c r="A156" s="2">
        <v>1551</v>
      </c>
      <c r="B156" t="s">
        <v>276</v>
      </c>
      <c r="C156" s="8">
        <v>45083</v>
      </c>
      <c r="D156" t="s">
        <v>273</v>
      </c>
    </row>
    <row r="157" spans="1:4" x14ac:dyDescent="0.3">
      <c r="A157" s="2">
        <v>1189</v>
      </c>
      <c r="B157" t="s">
        <v>276</v>
      </c>
      <c r="C157" s="8">
        <v>45083</v>
      </c>
      <c r="D157" t="s">
        <v>273</v>
      </c>
    </row>
    <row r="158" spans="1:4" x14ac:dyDescent="0.3">
      <c r="A158" s="2">
        <v>1194</v>
      </c>
      <c r="B158" t="s">
        <v>276</v>
      </c>
      <c r="C158" s="8">
        <v>45088</v>
      </c>
      <c r="D158" t="s">
        <v>273</v>
      </c>
    </row>
    <row r="159" spans="1:4" x14ac:dyDescent="0.3">
      <c r="A159" s="2">
        <v>1214</v>
      </c>
      <c r="B159" t="s">
        <v>276</v>
      </c>
      <c r="C159" s="8">
        <v>45108</v>
      </c>
      <c r="D159" t="s">
        <v>273</v>
      </c>
    </row>
    <row r="160" spans="1:4" x14ac:dyDescent="0.3">
      <c r="A160" s="2">
        <v>1289</v>
      </c>
      <c r="B160" t="s">
        <v>276</v>
      </c>
      <c r="C160" s="8">
        <v>45112</v>
      </c>
      <c r="D160" t="s">
        <v>273</v>
      </c>
    </row>
    <row r="161" spans="1:4" x14ac:dyDescent="0.3">
      <c r="A161" s="2">
        <v>1219</v>
      </c>
      <c r="B161" t="s">
        <v>276</v>
      </c>
      <c r="C161" s="8">
        <v>45113</v>
      </c>
      <c r="D161" t="s">
        <v>273</v>
      </c>
    </row>
    <row r="162" spans="1:4" x14ac:dyDescent="0.3">
      <c r="A162" s="2">
        <v>1294</v>
      </c>
      <c r="B162" t="s">
        <v>276</v>
      </c>
      <c r="C162" s="8">
        <v>45148</v>
      </c>
      <c r="D162" t="s">
        <v>273</v>
      </c>
    </row>
    <row r="163" spans="1:4" x14ac:dyDescent="0.3">
      <c r="A163" s="2">
        <v>1556</v>
      </c>
      <c r="B163" t="s">
        <v>276</v>
      </c>
      <c r="C163" s="8">
        <v>45118</v>
      </c>
      <c r="D163" t="s">
        <v>273</v>
      </c>
    </row>
    <row r="164" spans="1:4" x14ac:dyDescent="0.3">
      <c r="A164" s="2">
        <v>1309</v>
      </c>
      <c r="B164" t="s">
        <v>276</v>
      </c>
      <c r="C164" s="8">
        <v>45119</v>
      </c>
      <c r="D164" t="s">
        <v>273</v>
      </c>
    </row>
    <row r="165" spans="1:4" x14ac:dyDescent="0.3">
      <c r="A165" s="2">
        <v>1299</v>
      </c>
      <c r="B165" t="s">
        <v>276</v>
      </c>
      <c r="C165" s="8">
        <v>45122</v>
      </c>
      <c r="D165" t="s">
        <v>273</v>
      </c>
    </row>
    <row r="166" spans="1:4" x14ac:dyDescent="0.3">
      <c r="A166" s="2">
        <v>1319</v>
      </c>
      <c r="B166" t="s">
        <v>276</v>
      </c>
      <c r="C166" s="8">
        <v>45146</v>
      </c>
      <c r="D166" t="s">
        <v>273</v>
      </c>
    </row>
    <row r="167" spans="1:4" x14ac:dyDescent="0.3">
      <c r="A167" s="2">
        <v>1561</v>
      </c>
      <c r="B167" t="s">
        <v>276</v>
      </c>
      <c r="C167" s="8">
        <v>45153</v>
      </c>
      <c r="D167" t="s">
        <v>273</v>
      </c>
    </row>
    <row r="168" spans="1:4" x14ac:dyDescent="0.3">
      <c r="A168" s="2">
        <v>1462</v>
      </c>
      <c r="B168" t="s">
        <v>276</v>
      </c>
      <c r="C168" s="8">
        <v>45180</v>
      </c>
      <c r="D168" t="s">
        <v>273</v>
      </c>
    </row>
    <row r="169" spans="1:4" x14ac:dyDescent="0.3">
      <c r="A169" s="2">
        <v>1400</v>
      </c>
      <c r="B169" t="s">
        <v>276</v>
      </c>
      <c r="C169" s="8">
        <v>45182</v>
      </c>
      <c r="D169" t="s">
        <v>273</v>
      </c>
    </row>
    <row r="170" spans="1:4" x14ac:dyDescent="0.3">
      <c r="A170" s="2">
        <v>1199</v>
      </c>
      <c r="B170" t="s">
        <v>276</v>
      </c>
      <c r="C170" s="8">
        <v>45185</v>
      </c>
      <c r="D170" t="s">
        <v>273</v>
      </c>
    </row>
    <row r="171" spans="1:4" x14ac:dyDescent="0.3">
      <c r="A171" s="2">
        <v>1371</v>
      </c>
      <c r="B171" t="s">
        <v>276</v>
      </c>
      <c r="C171" s="8">
        <v>45186</v>
      </c>
      <c r="D171" t="s">
        <v>273</v>
      </c>
    </row>
    <row r="172" spans="1:4" x14ac:dyDescent="0.3">
      <c r="A172" s="2">
        <v>1428</v>
      </c>
      <c r="B172" t="s">
        <v>276</v>
      </c>
      <c r="C172" s="8">
        <v>45188</v>
      </c>
      <c r="D172" t="s">
        <v>273</v>
      </c>
    </row>
    <row r="173" spans="1:4" x14ac:dyDescent="0.3">
      <c r="A173" s="2">
        <v>1566</v>
      </c>
      <c r="B173" t="s">
        <v>276</v>
      </c>
      <c r="C173" s="8">
        <v>45188</v>
      </c>
      <c r="D173" t="s">
        <v>273</v>
      </c>
    </row>
    <row r="174" spans="1:4" x14ac:dyDescent="0.3">
      <c r="A174" s="2">
        <v>1446</v>
      </c>
      <c r="B174" t="s">
        <v>276</v>
      </c>
      <c r="C174" s="8">
        <v>45190</v>
      </c>
      <c r="D174" t="s">
        <v>273</v>
      </c>
    </row>
    <row r="175" spans="1:4" x14ac:dyDescent="0.3">
      <c r="A175" s="2">
        <v>1429</v>
      </c>
      <c r="B175" t="s">
        <v>276</v>
      </c>
      <c r="C175" s="8">
        <v>45193</v>
      </c>
      <c r="D175" t="s">
        <v>273</v>
      </c>
    </row>
    <row r="176" spans="1:4" x14ac:dyDescent="0.3">
      <c r="A176" s="2">
        <v>1447</v>
      </c>
      <c r="B176" t="s">
        <v>276</v>
      </c>
      <c r="C176" s="8">
        <v>45197</v>
      </c>
      <c r="D176" t="s">
        <v>273</v>
      </c>
    </row>
    <row r="177" spans="1:4" x14ac:dyDescent="0.3">
      <c r="A177" s="2">
        <v>1375</v>
      </c>
      <c r="B177" t="s">
        <v>276</v>
      </c>
      <c r="C177" s="8">
        <v>45198</v>
      </c>
      <c r="D177" t="s">
        <v>273</v>
      </c>
    </row>
    <row r="178" spans="1:4" x14ac:dyDescent="0.3">
      <c r="A178" s="2">
        <v>1376</v>
      </c>
      <c r="B178" t="s">
        <v>276</v>
      </c>
      <c r="C178" s="8">
        <v>45201</v>
      </c>
      <c r="D178" t="s">
        <v>273</v>
      </c>
    </row>
    <row r="179" spans="1:4" x14ac:dyDescent="0.3">
      <c r="A179" s="2">
        <v>1466</v>
      </c>
      <c r="B179" t="s">
        <v>276</v>
      </c>
      <c r="C179" s="8">
        <v>45209</v>
      </c>
      <c r="D179" t="s">
        <v>273</v>
      </c>
    </row>
    <row r="180" spans="1:4" x14ac:dyDescent="0.3">
      <c r="A180" s="2">
        <v>1380</v>
      </c>
      <c r="B180" t="s">
        <v>276</v>
      </c>
      <c r="C180" s="8">
        <v>45213</v>
      </c>
      <c r="D180" t="s">
        <v>273</v>
      </c>
    </row>
    <row r="181" spans="1:4" x14ac:dyDescent="0.3">
      <c r="A181" s="2">
        <v>1570</v>
      </c>
      <c r="B181" t="s">
        <v>276</v>
      </c>
      <c r="C181" s="8">
        <v>45216</v>
      </c>
      <c r="D181" t="s">
        <v>273</v>
      </c>
    </row>
    <row r="182" spans="1:4" x14ac:dyDescent="0.3">
      <c r="A182" s="2">
        <v>1433</v>
      </c>
      <c r="B182" t="s">
        <v>276</v>
      </c>
      <c r="C182" s="8">
        <v>45219</v>
      </c>
      <c r="D182" t="s">
        <v>273</v>
      </c>
    </row>
    <row r="183" spans="1:4" x14ac:dyDescent="0.3">
      <c r="A183" s="2">
        <v>1451</v>
      </c>
      <c r="B183" t="s">
        <v>276</v>
      </c>
      <c r="C183" s="8">
        <v>45224</v>
      </c>
      <c r="D183" t="s">
        <v>273</v>
      </c>
    </row>
    <row r="184" spans="1:4" x14ac:dyDescent="0.3">
      <c r="A184" s="2">
        <v>1385</v>
      </c>
      <c r="B184" t="s">
        <v>276</v>
      </c>
      <c r="C184" s="8">
        <v>45228</v>
      </c>
      <c r="D184" t="s">
        <v>273</v>
      </c>
    </row>
    <row r="185" spans="1:4" x14ac:dyDescent="0.3">
      <c r="A185" s="2">
        <v>1390</v>
      </c>
      <c r="B185" t="s">
        <v>276</v>
      </c>
      <c r="C185" s="8">
        <v>45243</v>
      </c>
      <c r="D185" t="s">
        <v>273</v>
      </c>
    </row>
    <row r="186" spans="1:4" x14ac:dyDescent="0.3">
      <c r="A186" s="2">
        <v>1471</v>
      </c>
      <c r="B186" t="s">
        <v>276</v>
      </c>
      <c r="C186" s="8">
        <v>45245</v>
      </c>
      <c r="D186" t="s">
        <v>273</v>
      </c>
    </row>
    <row r="187" spans="1:4" x14ac:dyDescent="0.3">
      <c r="A187" s="2">
        <v>1575</v>
      </c>
      <c r="B187" t="s">
        <v>276</v>
      </c>
      <c r="C187" s="8">
        <v>45251</v>
      </c>
      <c r="D187" t="s">
        <v>273</v>
      </c>
    </row>
    <row r="188" spans="1:4" x14ac:dyDescent="0.3">
      <c r="A188" s="2">
        <v>1438</v>
      </c>
      <c r="B188" t="s">
        <v>276</v>
      </c>
      <c r="C188" s="8">
        <v>45253</v>
      </c>
      <c r="D188" t="s">
        <v>273</v>
      </c>
    </row>
    <row r="189" spans="1:4" x14ac:dyDescent="0.3">
      <c r="A189" s="2">
        <v>1455</v>
      </c>
      <c r="B189" t="s">
        <v>276</v>
      </c>
      <c r="C189" s="8">
        <v>45253</v>
      </c>
      <c r="D189" t="s">
        <v>273</v>
      </c>
    </row>
    <row r="190" spans="1:4" x14ac:dyDescent="0.3">
      <c r="A190" s="2">
        <v>1395</v>
      </c>
      <c r="B190" t="s">
        <v>276</v>
      </c>
      <c r="C190" s="8">
        <v>45258</v>
      </c>
      <c r="D190" t="s">
        <v>273</v>
      </c>
    </row>
    <row r="191" spans="1:4" x14ac:dyDescent="0.3">
      <c r="A191" s="2">
        <v>1456</v>
      </c>
      <c r="B191" t="s">
        <v>276</v>
      </c>
      <c r="C191" s="8">
        <v>45260</v>
      </c>
      <c r="D191" t="s">
        <v>273</v>
      </c>
    </row>
    <row r="192" spans="1:4" x14ac:dyDescent="0.3">
      <c r="A192" s="2">
        <v>1363</v>
      </c>
      <c r="B192" t="s">
        <v>276</v>
      </c>
      <c r="C192" s="8">
        <v>45279</v>
      </c>
      <c r="D192" t="s">
        <v>273</v>
      </c>
    </row>
    <row r="193" spans="1:4" x14ac:dyDescent="0.3">
      <c r="A193" s="2">
        <v>1476</v>
      </c>
      <c r="B193" t="s">
        <v>276</v>
      </c>
      <c r="C193" s="8">
        <v>45280</v>
      </c>
      <c r="D193" t="s">
        <v>273</v>
      </c>
    </row>
    <row r="194" spans="1:4" x14ac:dyDescent="0.3">
      <c r="A194" s="2">
        <v>1404</v>
      </c>
      <c r="B194" t="s">
        <v>276</v>
      </c>
      <c r="C194" s="8">
        <v>45285</v>
      </c>
      <c r="D194" t="s">
        <v>273</v>
      </c>
    </row>
    <row r="195" spans="1:4" x14ac:dyDescent="0.3">
      <c r="A195" s="2">
        <v>1580</v>
      </c>
      <c r="B195" t="s">
        <v>276</v>
      </c>
      <c r="C195" s="8">
        <v>45286</v>
      </c>
      <c r="D195" t="s">
        <v>273</v>
      </c>
    </row>
    <row r="196" spans="1:4" x14ac:dyDescent="0.3">
      <c r="A196" s="2">
        <v>1477</v>
      </c>
      <c r="B196" t="s">
        <v>277</v>
      </c>
      <c r="C196" s="8">
        <v>45073</v>
      </c>
      <c r="D196" t="s">
        <v>275</v>
      </c>
    </row>
    <row r="197" spans="1:4" x14ac:dyDescent="0.3">
      <c r="A197" s="2">
        <v>1472</v>
      </c>
      <c r="B197" t="s">
        <v>277</v>
      </c>
      <c r="C197" s="8">
        <v>45252</v>
      </c>
      <c r="D197" t="s">
        <v>275</v>
      </c>
    </row>
    <row r="198" spans="1:4" x14ac:dyDescent="0.3">
      <c r="A198" s="2">
        <v>1576</v>
      </c>
      <c r="B198" t="s">
        <v>277</v>
      </c>
      <c r="C198" s="8">
        <v>45258</v>
      </c>
      <c r="D198" t="s">
        <v>275</v>
      </c>
    </row>
    <row r="199" spans="1:4" x14ac:dyDescent="0.3">
      <c r="A199" s="2">
        <v>1396</v>
      </c>
      <c r="B199" t="s">
        <v>277</v>
      </c>
      <c r="C199" s="8">
        <v>45261</v>
      </c>
      <c r="D199" t="s">
        <v>275</v>
      </c>
    </row>
    <row r="200" spans="1:4" x14ac:dyDescent="0.3">
      <c r="A200" s="2">
        <v>1359</v>
      </c>
      <c r="B200" t="s">
        <v>277</v>
      </c>
      <c r="C200" s="8">
        <v>45267</v>
      </c>
      <c r="D200" t="s">
        <v>275</v>
      </c>
    </row>
    <row r="201" spans="1:4" x14ac:dyDescent="0.3">
      <c r="A201" s="2">
        <v>1457</v>
      </c>
      <c r="B201" t="s">
        <v>277</v>
      </c>
      <c r="C201" s="8">
        <v>45267</v>
      </c>
      <c r="D201" t="s">
        <v>275</v>
      </c>
    </row>
    <row r="202" spans="1:4" x14ac:dyDescent="0.3">
      <c r="A202" s="2">
        <v>1401</v>
      </c>
      <c r="B202" t="s">
        <v>277</v>
      </c>
      <c r="C202" s="8">
        <v>45276</v>
      </c>
      <c r="D202" t="s">
        <v>275</v>
      </c>
    </row>
    <row r="203" spans="1:4" x14ac:dyDescent="0.3">
      <c r="A203" s="2">
        <v>1364</v>
      </c>
      <c r="B203" t="s">
        <v>277</v>
      </c>
      <c r="C203" s="8">
        <v>45282</v>
      </c>
      <c r="D203" t="s">
        <v>275</v>
      </c>
    </row>
    <row r="204" spans="1:4" x14ac:dyDescent="0.3">
      <c r="A204" s="2">
        <v>1543</v>
      </c>
      <c r="B204" t="s">
        <v>277</v>
      </c>
      <c r="C204" s="8">
        <v>45027</v>
      </c>
      <c r="D204" t="s">
        <v>273</v>
      </c>
    </row>
    <row r="205" spans="1:4" x14ac:dyDescent="0.3">
      <c r="A205" s="2">
        <v>1548</v>
      </c>
      <c r="B205" t="s">
        <v>277</v>
      </c>
      <c r="C205" s="8">
        <v>45062</v>
      </c>
      <c r="D205" t="s">
        <v>273</v>
      </c>
    </row>
    <row r="206" spans="1:4" x14ac:dyDescent="0.3">
      <c r="A206" s="2">
        <v>1186</v>
      </c>
      <c r="B206" t="s">
        <v>277</v>
      </c>
      <c r="C206" s="8">
        <v>44929</v>
      </c>
      <c r="D206" t="s">
        <v>273</v>
      </c>
    </row>
    <row r="207" spans="1:4" x14ac:dyDescent="0.3">
      <c r="A207" s="2">
        <v>1191</v>
      </c>
      <c r="B207" t="s">
        <v>277</v>
      </c>
      <c r="C207" s="8">
        <v>45085</v>
      </c>
      <c r="D207" t="s">
        <v>273</v>
      </c>
    </row>
    <row r="208" spans="1:4" x14ac:dyDescent="0.3">
      <c r="A208" s="2">
        <v>1196</v>
      </c>
      <c r="B208" t="s">
        <v>277</v>
      </c>
      <c r="C208" s="8">
        <v>45090</v>
      </c>
      <c r="D208" t="s">
        <v>273</v>
      </c>
    </row>
    <row r="209" spans="1:4" x14ac:dyDescent="0.3">
      <c r="A209" s="2">
        <v>1324</v>
      </c>
      <c r="B209" t="s">
        <v>277</v>
      </c>
      <c r="C209" s="8">
        <v>45159</v>
      </c>
      <c r="D209" t="s">
        <v>273</v>
      </c>
    </row>
    <row r="210" spans="1:4" x14ac:dyDescent="0.3">
      <c r="A210" s="2">
        <v>1381</v>
      </c>
      <c r="B210" t="s">
        <v>277</v>
      </c>
      <c r="C210" s="8">
        <v>45216</v>
      </c>
      <c r="D210" t="s">
        <v>273</v>
      </c>
    </row>
    <row r="211" spans="1:4" x14ac:dyDescent="0.3">
      <c r="A211" s="2">
        <v>1467</v>
      </c>
      <c r="B211" t="s">
        <v>277</v>
      </c>
      <c r="C211" s="8">
        <v>45216</v>
      </c>
      <c r="D211" t="s">
        <v>273</v>
      </c>
    </row>
    <row r="212" spans="1:4" x14ac:dyDescent="0.3">
      <c r="A212" s="2">
        <v>1553</v>
      </c>
      <c r="B212" t="s">
        <v>277</v>
      </c>
      <c r="C212" s="8">
        <v>45219</v>
      </c>
      <c r="D212" t="s">
        <v>273</v>
      </c>
    </row>
    <row r="213" spans="1:4" x14ac:dyDescent="0.3">
      <c r="A213" s="2">
        <v>1571</v>
      </c>
      <c r="B213" t="s">
        <v>277</v>
      </c>
      <c r="C213" s="8">
        <v>45223</v>
      </c>
      <c r="D213" t="s">
        <v>273</v>
      </c>
    </row>
    <row r="214" spans="1:4" x14ac:dyDescent="0.3">
      <c r="A214" s="2">
        <v>1434</v>
      </c>
      <c r="B214" t="s">
        <v>277</v>
      </c>
      <c r="C214" s="8">
        <v>45226</v>
      </c>
      <c r="D214" t="s">
        <v>273</v>
      </c>
    </row>
    <row r="215" spans="1:4" x14ac:dyDescent="0.3">
      <c r="A215" s="2">
        <v>1386</v>
      </c>
      <c r="B215" t="s">
        <v>277</v>
      </c>
      <c r="C215" s="8">
        <v>45231</v>
      </c>
      <c r="D215" t="s">
        <v>273</v>
      </c>
    </row>
    <row r="216" spans="1:4" x14ac:dyDescent="0.3">
      <c r="A216" s="2">
        <v>1452</v>
      </c>
      <c r="B216" t="s">
        <v>277</v>
      </c>
      <c r="C216" s="8">
        <v>45232</v>
      </c>
      <c r="D216" t="s">
        <v>273</v>
      </c>
    </row>
    <row r="217" spans="1:4" x14ac:dyDescent="0.3">
      <c r="A217" s="2">
        <v>1391</v>
      </c>
      <c r="B217" t="s">
        <v>277</v>
      </c>
      <c r="C217" s="8">
        <v>45246</v>
      </c>
      <c r="D217" t="s">
        <v>273</v>
      </c>
    </row>
    <row r="218" spans="1:4" x14ac:dyDescent="0.3">
      <c r="A218" s="2">
        <v>1439</v>
      </c>
      <c r="B218" t="s">
        <v>277</v>
      </c>
      <c r="C218" s="8">
        <v>45258</v>
      </c>
      <c r="D218" t="s">
        <v>273</v>
      </c>
    </row>
    <row r="219" spans="1:4" x14ac:dyDescent="0.3">
      <c r="A219" s="2">
        <v>1201</v>
      </c>
      <c r="B219" t="s">
        <v>277</v>
      </c>
      <c r="C219" s="8">
        <v>45278</v>
      </c>
      <c r="D219" t="s">
        <v>273</v>
      </c>
    </row>
    <row r="220" spans="1:4" x14ac:dyDescent="0.3">
      <c r="A220" s="2">
        <v>1563</v>
      </c>
      <c r="B220" t="s">
        <v>278</v>
      </c>
      <c r="C220" s="8">
        <v>45167</v>
      </c>
      <c r="D220" t="s">
        <v>275</v>
      </c>
    </row>
    <row r="221" spans="1:4" x14ac:dyDescent="0.3">
      <c r="A221" s="2">
        <v>1464</v>
      </c>
      <c r="B221" t="s">
        <v>278</v>
      </c>
      <c r="C221" s="8">
        <v>45195</v>
      </c>
      <c r="D221" t="s">
        <v>275</v>
      </c>
    </row>
    <row r="222" spans="1:4" x14ac:dyDescent="0.3">
      <c r="A222" s="2">
        <v>1431</v>
      </c>
      <c r="B222" t="s">
        <v>278</v>
      </c>
      <c r="C222" s="8">
        <v>45203</v>
      </c>
      <c r="D222" t="s">
        <v>275</v>
      </c>
    </row>
    <row r="223" spans="1:4" x14ac:dyDescent="0.3">
      <c r="A223" s="2">
        <v>1449</v>
      </c>
      <c r="B223" t="s">
        <v>278</v>
      </c>
      <c r="C223" s="8">
        <v>45210</v>
      </c>
      <c r="D223" t="s">
        <v>275</v>
      </c>
    </row>
    <row r="224" spans="1:4" x14ac:dyDescent="0.3">
      <c r="A224" s="2">
        <v>1469</v>
      </c>
      <c r="B224" t="s">
        <v>278</v>
      </c>
      <c r="C224" s="8">
        <v>45231</v>
      </c>
      <c r="D224" t="s">
        <v>275</v>
      </c>
    </row>
    <row r="225" spans="1:4" x14ac:dyDescent="0.3">
      <c r="A225" s="2">
        <v>1573</v>
      </c>
      <c r="B225" t="s">
        <v>278</v>
      </c>
      <c r="C225" s="8">
        <v>45237</v>
      </c>
      <c r="D225" t="s">
        <v>275</v>
      </c>
    </row>
    <row r="226" spans="1:4" x14ac:dyDescent="0.3">
      <c r="A226" s="2">
        <v>1454</v>
      </c>
      <c r="B226" t="s">
        <v>278</v>
      </c>
      <c r="C226" s="8">
        <v>45246</v>
      </c>
      <c r="D226" t="s">
        <v>275</v>
      </c>
    </row>
    <row r="227" spans="1:4" x14ac:dyDescent="0.3">
      <c r="A227" s="2">
        <v>1373</v>
      </c>
      <c r="B227" t="s">
        <v>278</v>
      </c>
      <c r="C227" s="8">
        <v>45192</v>
      </c>
      <c r="D227" t="s">
        <v>272</v>
      </c>
    </row>
    <row r="228" spans="1:4" x14ac:dyDescent="0.3">
      <c r="A228" s="2">
        <v>1568</v>
      </c>
      <c r="B228" t="s">
        <v>278</v>
      </c>
      <c r="C228" s="8">
        <v>45202</v>
      </c>
      <c r="D228" t="s">
        <v>272</v>
      </c>
    </row>
    <row r="229" spans="1:4" x14ac:dyDescent="0.3">
      <c r="A229" s="2">
        <v>1311</v>
      </c>
      <c r="B229" t="s">
        <v>278</v>
      </c>
      <c r="C229" s="8">
        <v>45033</v>
      </c>
      <c r="D229" t="s">
        <v>272</v>
      </c>
    </row>
    <row r="230" spans="1:4" x14ac:dyDescent="0.3">
      <c r="A230" s="2">
        <v>1558</v>
      </c>
      <c r="B230" t="s">
        <v>278</v>
      </c>
      <c r="C230" s="8">
        <v>45071</v>
      </c>
      <c r="D230" t="s">
        <v>272</v>
      </c>
    </row>
    <row r="231" spans="1:4" x14ac:dyDescent="0.3">
      <c r="A231" s="2">
        <v>1211</v>
      </c>
      <c r="B231" t="s">
        <v>278</v>
      </c>
      <c r="C231" s="8">
        <v>44954</v>
      </c>
      <c r="D231" t="s">
        <v>272</v>
      </c>
    </row>
    <row r="232" spans="1:4" x14ac:dyDescent="0.3">
      <c r="A232" s="2">
        <v>1216</v>
      </c>
      <c r="B232" t="s">
        <v>278</v>
      </c>
      <c r="C232" s="8">
        <v>45110</v>
      </c>
      <c r="D232" t="s">
        <v>272</v>
      </c>
    </row>
    <row r="233" spans="1:4" x14ac:dyDescent="0.3">
      <c r="A233" s="2">
        <v>1291</v>
      </c>
      <c r="B233" t="s">
        <v>278</v>
      </c>
      <c r="C233" s="8">
        <v>45145</v>
      </c>
      <c r="D233" t="s">
        <v>272</v>
      </c>
    </row>
    <row r="234" spans="1:4" x14ac:dyDescent="0.3">
      <c r="A234" s="2">
        <v>1296</v>
      </c>
      <c r="B234" t="s">
        <v>278</v>
      </c>
      <c r="C234" s="8">
        <v>45119</v>
      </c>
      <c r="D234" t="s">
        <v>272</v>
      </c>
    </row>
    <row r="235" spans="1:4" x14ac:dyDescent="0.3">
      <c r="A235" s="2">
        <v>1316</v>
      </c>
      <c r="B235" t="s">
        <v>278</v>
      </c>
      <c r="C235" s="8">
        <v>45137</v>
      </c>
      <c r="D235" t="s">
        <v>272</v>
      </c>
    </row>
    <row r="236" spans="1:4" x14ac:dyDescent="0.3">
      <c r="A236" s="2">
        <v>1321</v>
      </c>
      <c r="B236" t="s">
        <v>278</v>
      </c>
      <c r="C236" s="8">
        <v>45151</v>
      </c>
      <c r="D236" t="s">
        <v>272</v>
      </c>
    </row>
    <row r="237" spans="1:4" x14ac:dyDescent="0.3">
      <c r="A237" s="2">
        <v>1378</v>
      </c>
      <c r="B237" t="s">
        <v>278</v>
      </c>
      <c r="C237" s="8">
        <v>45207</v>
      </c>
      <c r="D237" t="s">
        <v>272</v>
      </c>
    </row>
    <row r="238" spans="1:4" x14ac:dyDescent="0.3">
      <c r="A238" s="2">
        <v>1383</v>
      </c>
      <c r="B238" t="s">
        <v>278</v>
      </c>
      <c r="C238" s="8">
        <v>45222</v>
      </c>
      <c r="D238" t="s">
        <v>272</v>
      </c>
    </row>
    <row r="239" spans="1:4" x14ac:dyDescent="0.3">
      <c r="A239" s="2">
        <v>1388</v>
      </c>
      <c r="B239" t="s">
        <v>278</v>
      </c>
      <c r="C239" s="8">
        <v>45237</v>
      </c>
      <c r="D239" t="s">
        <v>272</v>
      </c>
    </row>
    <row r="240" spans="1:4" x14ac:dyDescent="0.3">
      <c r="A240" s="2">
        <v>1436</v>
      </c>
      <c r="B240" t="s">
        <v>278</v>
      </c>
      <c r="C240" s="8">
        <v>45239</v>
      </c>
      <c r="D240" t="s">
        <v>272</v>
      </c>
    </row>
    <row r="241" spans="1:4" x14ac:dyDescent="0.3">
      <c r="A241" s="2">
        <v>1019</v>
      </c>
      <c r="B241" t="s">
        <v>278</v>
      </c>
      <c r="C241" s="8">
        <v>44940</v>
      </c>
      <c r="D241" t="s">
        <v>273</v>
      </c>
    </row>
    <row r="242" spans="1:4" x14ac:dyDescent="0.3">
      <c r="A242" s="2">
        <v>1037</v>
      </c>
      <c r="B242" t="s">
        <v>278</v>
      </c>
      <c r="C242" s="8">
        <v>44945</v>
      </c>
      <c r="D242" t="s">
        <v>273</v>
      </c>
    </row>
    <row r="243" spans="1:4" x14ac:dyDescent="0.3">
      <c r="A243" s="2">
        <v>1052</v>
      </c>
      <c r="B243" t="s">
        <v>278</v>
      </c>
      <c r="C243" s="8">
        <v>44950</v>
      </c>
      <c r="D243" t="s">
        <v>273</v>
      </c>
    </row>
    <row r="244" spans="1:4" x14ac:dyDescent="0.3">
      <c r="A244" s="2">
        <v>1061</v>
      </c>
      <c r="B244" t="s">
        <v>278</v>
      </c>
      <c r="C244" s="8">
        <v>44955</v>
      </c>
      <c r="D244" t="s">
        <v>273</v>
      </c>
    </row>
    <row r="245" spans="1:4" x14ac:dyDescent="0.3">
      <c r="A245" s="2">
        <v>1066</v>
      </c>
      <c r="B245" t="s">
        <v>278</v>
      </c>
      <c r="C245" s="8">
        <v>44960</v>
      </c>
      <c r="D245" t="s">
        <v>273</v>
      </c>
    </row>
    <row r="246" spans="1:4" x14ac:dyDescent="0.3">
      <c r="A246" s="2">
        <v>1071</v>
      </c>
      <c r="B246" t="s">
        <v>278</v>
      </c>
      <c r="C246" s="8">
        <v>44967</v>
      </c>
      <c r="D246" t="s">
        <v>273</v>
      </c>
    </row>
    <row r="247" spans="1:4" x14ac:dyDescent="0.3">
      <c r="A247" s="2">
        <v>1076</v>
      </c>
      <c r="B247" t="s">
        <v>278</v>
      </c>
      <c r="C247" s="8">
        <v>44972</v>
      </c>
      <c r="D247" t="s">
        <v>273</v>
      </c>
    </row>
    <row r="248" spans="1:4" x14ac:dyDescent="0.3">
      <c r="A248" s="2">
        <v>1081</v>
      </c>
      <c r="B248" t="s">
        <v>278</v>
      </c>
      <c r="C248" s="8">
        <v>44977</v>
      </c>
      <c r="D248" t="s">
        <v>273</v>
      </c>
    </row>
    <row r="249" spans="1:4" x14ac:dyDescent="0.3">
      <c r="A249" s="2">
        <v>1086</v>
      </c>
      <c r="B249" t="s">
        <v>278</v>
      </c>
      <c r="C249" s="8">
        <v>44982</v>
      </c>
      <c r="D249" t="s">
        <v>273</v>
      </c>
    </row>
    <row r="250" spans="1:4" x14ac:dyDescent="0.3">
      <c r="A250" s="2">
        <v>1538</v>
      </c>
      <c r="B250" t="s">
        <v>278</v>
      </c>
      <c r="C250" s="8">
        <v>44990</v>
      </c>
      <c r="D250" t="s">
        <v>273</v>
      </c>
    </row>
    <row r="251" spans="1:4" x14ac:dyDescent="0.3">
      <c r="A251" s="2">
        <v>1116</v>
      </c>
      <c r="B251" t="s">
        <v>278</v>
      </c>
      <c r="C251" s="8">
        <v>45010</v>
      </c>
      <c r="D251" t="s">
        <v>273</v>
      </c>
    </row>
    <row r="252" spans="1:4" x14ac:dyDescent="0.3">
      <c r="A252" s="2">
        <v>1121</v>
      </c>
      <c r="B252" t="s">
        <v>278</v>
      </c>
      <c r="C252" s="8">
        <v>45015</v>
      </c>
      <c r="D252" t="s">
        <v>273</v>
      </c>
    </row>
    <row r="253" spans="1:4" x14ac:dyDescent="0.3">
      <c r="A253" s="2">
        <v>1221</v>
      </c>
      <c r="B253" t="s">
        <v>278</v>
      </c>
      <c r="C253" s="8">
        <v>45024</v>
      </c>
      <c r="D253" t="s">
        <v>273</v>
      </c>
    </row>
    <row r="254" spans="1:4" x14ac:dyDescent="0.3">
      <c r="A254" s="2">
        <v>1301</v>
      </c>
      <c r="B254" t="s">
        <v>278</v>
      </c>
      <c r="C254" s="8">
        <v>45033</v>
      </c>
      <c r="D254" t="s">
        <v>273</v>
      </c>
    </row>
    <row r="255" spans="1:4" x14ac:dyDescent="0.3">
      <c r="A255" s="2">
        <v>1366</v>
      </c>
      <c r="B255" t="s">
        <v>278</v>
      </c>
      <c r="C255" s="8">
        <v>45044</v>
      </c>
      <c r="D255" t="s">
        <v>273</v>
      </c>
    </row>
    <row r="256" spans="1:4" x14ac:dyDescent="0.3">
      <c r="A256" s="2">
        <v>1403</v>
      </c>
      <c r="B256" t="s">
        <v>278</v>
      </c>
      <c r="C256" s="8">
        <v>45068</v>
      </c>
      <c r="D256" t="s">
        <v>273</v>
      </c>
    </row>
    <row r="257" spans="1:4" x14ac:dyDescent="0.3">
      <c r="A257" s="2">
        <v>1426</v>
      </c>
      <c r="B257" t="s">
        <v>278</v>
      </c>
      <c r="C257" s="8">
        <v>45171</v>
      </c>
      <c r="D257" t="s">
        <v>273</v>
      </c>
    </row>
    <row r="258" spans="1:4" x14ac:dyDescent="0.3">
      <c r="A258" s="2">
        <v>1444</v>
      </c>
      <c r="B258" t="s">
        <v>278</v>
      </c>
      <c r="C258" s="8">
        <v>45174</v>
      </c>
      <c r="D258" t="s">
        <v>273</v>
      </c>
    </row>
    <row r="259" spans="1:4" x14ac:dyDescent="0.3">
      <c r="A259" s="2">
        <v>1368</v>
      </c>
      <c r="B259" t="s">
        <v>278</v>
      </c>
      <c r="C259" s="8">
        <v>45175</v>
      </c>
      <c r="D259" t="s">
        <v>273</v>
      </c>
    </row>
    <row r="260" spans="1:4" x14ac:dyDescent="0.3">
      <c r="A260" s="2">
        <v>1393</v>
      </c>
      <c r="B260" t="s">
        <v>278</v>
      </c>
      <c r="C260" s="8">
        <v>45252</v>
      </c>
      <c r="D260" t="s">
        <v>273</v>
      </c>
    </row>
    <row r="261" spans="1:4" x14ac:dyDescent="0.3">
      <c r="A261" s="2">
        <v>1474</v>
      </c>
      <c r="B261" t="s">
        <v>278</v>
      </c>
      <c r="C261" s="8">
        <v>45266</v>
      </c>
      <c r="D261" t="s">
        <v>273</v>
      </c>
    </row>
    <row r="262" spans="1:4" x14ac:dyDescent="0.3">
      <c r="A262" s="2">
        <v>1398</v>
      </c>
      <c r="B262" t="s">
        <v>278</v>
      </c>
      <c r="C262" s="8">
        <v>45267</v>
      </c>
      <c r="D262" t="s">
        <v>273</v>
      </c>
    </row>
    <row r="263" spans="1:4" x14ac:dyDescent="0.3">
      <c r="A263" s="2">
        <v>1441</v>
      </c>
      <c r="B263" t="s">
        <v>278</v>
      </c>
      <c r="C263" s="8">
        <v>45270</v>
      </c>
      <c r="D263" t="s">
        <v>273</v>
      </c>
    </row>
    <row r="264" spans="1:4" x14ac:dyDescent="0.3">
      <c r="A264" s="2">
        <v>1578</v>
      </c>
      <c r="B264" t="s">
        <v>278</v>
      </c>
      <c r="C264" s="8">
        <v>45272</v>
      </c>
      <c r="D264" t="s">
        <v>273</v>
      </c>
    </row>
    <row r="265" spans="1:4" x14ac:dyDescent="0.3">
      <c r="A265" s="2">
        <v>1361</v>
      </c>
      <c r="B265" t="s">
        <v>278</v>
      </c>
      <c r="C265" s="8">
        <v>45273</v>
      </c>
      <c r="D265" t="s">
        <v>273</v>
      </c>
    </row>
    <row r="266" spans="1:4" x14ac:dyDescent="0.3">
      <c r="A266" s="2">
        <v>1459</v>
      </c>
      <c r="B266" t="s">
        <v>278</v>
      </c>
      <c r="C266" s="8">
        <v>45281</v>
      </c>
      <c r="D266" t="s">
        <v>273</v>
      </c>
    </row>
    <row r="267" spans="1:4" x14ac:dyDescent="0.3">
      <c r="A267" s="2">
        <v>1206</v>
      </c>
      <c r="B267" t="s">
        <v>278</v>
      </c>
      <c r="C267" s="8">
        <v>45283</v>
      </c>
      <c r="D267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FD1C-6FAA-46DA-8692-672515FD0955}">
  <dimension ref="A1:F7"/>
  <sheetViews>
    <sheetView workbookViewId="0">
      <selection activeCell="E95" sqref="E95"/>
    </sheetView>
  </sheetViews>
  <sheetFormatPr defaultRowHeight="14.4" x14ac:dyDescent="0.3"/>
  <cols>
    <col min="1" max="1" width="14" bestFit="1" customWidth="1"/>
    <col min="2" max="2" width="16.77734375" bestFit="1" customWidth="1"/>
    <col min="5" max="5" width="11" bestFit="1" customWidth="1"/>
  </cols>
  <sheetData>
    <row r="1" spans="1:6" ht="13.2" customHeight="1" x14ac:dyDescent="0.3">
      <c r="A1" s="15" t="s">
        <v>279</v>
      </c>
      <c r="E1" s="15" t="s">
        <v>280</v>
      </c>
    </row>
    <row r="2" spans="1:6" x14ac:dyDescent="0.3">
      <c r="A2" s="14" t="s">
        <v>268</v>
      </c>
      <c r="B2" s="14" t="s">
        <v>281</v>
      </c>
      <c r="E2" s="14" t="s">
        <v>270</v>
      </c>
      <c r="F2" s="14" t="s">
        <v>282</v>
      </c>
    </row>
    <row r="3" spans="1:6" x14ac:dyDescent="0.3">
      <c r="A3" t="s">
        <v>271</v>
      </c>
      <c r="B3">
        <v>150</v>
      </c>
      <c r="E3" t="s">
        <v>273</v>
      </c>
      <c r="F3" s="16">
        <v>0.15</v>
      </c>
    </row>
    <row r="4" spans="1:6" x14ac:dyDescent="0.3">
      <c r="A4" t="s">
        <v>274</v>
      </c>
      <c r="B4">
        <v>400</v>
      </c>
      <c r="E4" t="s">
        <v>272</v>
      </c>
      <c r="F4" s="16">
        <v>0.1</v>
      </c>
    </row>
    <row r="5" spans="1:6" x14ac:dyDescent="0.3">
      <c r="A5" t="s">
        <v>276</v>
      </c>
      <c r="B5">
        <v>600</v>
      </c>
      <c r="E5" t="s">
        <v>275</v>
      </c>
      <c r="F5" s="16">
        <v>0</v>
      </c>
    </row>
    <row r="6" spans="1:6" x14ac:dyDescent="0.3">
      <c r="A6" t="s">
        <v>277</v>
      </c>
      <c r="B6">
        <v>500</v>
      </c>
    </row>
    <row r="7" spans="1:6" x14ac:dyDescent="0.3">
      <c r="A7" t="s">
        <v>278</v>
      </c>
      <c r="B7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FF31-2B7A-4651-9685-C838937DBD25}">
  <dimension ref="A2:Q71"/>
  <sheetViews>
    <sheetView zoomScale="90" zoomScaleNormal="90" workbookViewId="0">
      <selection activeCell="H2" sqref="H2"/>
    </sheetView>
  </sheetViews>
  <sheetFormatPr defaultRowHeight="14.4" x14ac:dyDescent="0.3"/>
  <cols>
    <col min="1" max="1" width="16.6640625" bestFit="1" customWidth="1"/>
    <col min="2" max="2" width="18.88671875" bestFit="1" customWidth="1"/>
    <col min="3" max="3" width="29.6640625" bestFit="1" customWidth="1"/>
    <col min="4" max="4" width="20.88671875" bestFit="1" customWidth="1"/>
    <col min="8" max="8" width="16.109375" bestFit="1" customWidth="1"/>
    <col min="9" max="9" width="34" bestFit="1" customWidth="1"/>
  </cols>
  <sheetData>
    <row r="2" spans="1:17" x14ac:dyDescent="0.3">
      <c r="A2" t="s">
        <v>29</v>
      </c>
      <c r="H2" t="s">
        <v>295</v>
      </c>
    </row>
    <row r="3" spans="1:17" x14ac:dyDescent="0.3">
      <c r="A3" s="17" t="s">
        <v>285</v>
      </c>
      <c r="B3" t="s">
        <v>286</v>
      </c>
      <c r="H3" s="21">
        <v>116010</v>
      </c>
      <c r="Q3" s="11" t="s">
        <v>13</v>
      </c>
    </row>
    <row r="4" spans="1:17" x14ac:dyDescent="0.3">
      <c r="A4" s="18" t="s">
        <v>271</v>
      </c>
      <c r="B4">
        <v>2700</v>
      </c>
      <c r="Q4" t="s">
        <v>15</v>
      </c>
    </row>
    <row r="5" spans="1:17" x14ac:dyDescent="0.3">
      <c r="A5" s="18" t="s">
        <v>274</v>
      </c>
      <c r="B5">
        <v>29600</v>
      </c>
      <c r="H5" t="s">
        <v>298</v>
      </c>
      <c r="Q5" t="s">
        <v>17</v>
      </c>
    </row>
    <row r="6" spans="1:17" x14ac:dyDescent="0.3">
      <c r="A6" s="18" t="s">
        <v>276</v>
      </c>
      <c r="B6">
        <v>60600</v>
      </c>
      <c r="H6">
        <v>265</v>
      </c>
      <c r="Q6" t="s">
        <v>20</v>
      </c>
    </row>
    <row r="7" spans="1:17" x14ac:dyDescent="0.3">
      <c r="A7" s="18" t="s">
        <v>277</v>
      </c>
      <c r="B7">
        <v>12000</v>
      </c>
      <c r="Q7" t="s">
        <v>23</v>
      </c>
    </row>
    <row r="8" spans="1:17" x14ac:dyDescent="0.3">
      <c r="A8" s="18" t="s">
        <v>278</v>
      </c>
      <c r="B8">
        <v>24000</v>
      </c>
      <c r="H8" t="s">
        <v>297</v>
      </c>
      <c r="Q8" t="s">
        <v>25</v>
      </c>
    </row>
    <row r="9" spans="1:17" x14ac:dyDescent="0.3">
      <c r="A9" s="18" t="s">
        <v>283</v>
      </c>
      <c r="B9">
        <v>128900</v>
      </c>
      <c r="H9">
        <v>486.41509433962267</v>
      </c>
      <c r="Q9" s="11" t="s">
        <v>27</v>
      </c>
    </row>
    <row r="10" spans="1:17" x14ac:dyDescent="0.3">
      <c r="Q10" t="s">
        <v>29</v>
      </c>
    </row>
    <row r="11" spans="1:17" x14ac:dyDescent="0.3">
      <c r="H11" s="17" t="s">
        <v>23</v>
      </c>
      <c r="Q11" t="s">
        <v>31</v>
      </c>
    </row>
    <row r="12" spans="1:17" x14ac:dyDescent="0.3">
      <c r="H12" s="18" t="s">
        <v>271</v>
      </c>
      <c r="Q12" t="s">
        <v>33</v>
      </c>
    </row>
    <row r="13" spans="1:17" x14ac:dyDescent="0.3">
      <c r="A13" t="s">
        <v>31</v>
      </c>
      <c r="H13" s="18" t="s">
        <v>274</v>
      </c>
      <c r="Q13" t="s">
        <v>35</v>
      </c>
    </row>
    <row r="14" spans="1:17" x14ac:dyDescent="0.3">
      <c r="A14" s="17" t="s">
        <v>287</v>
      </c>
      <c r="B14" t="s">
        <v>288</v>
      </c>
      <c r="H14" s="18" t="s">
        <v>276</v>
      </c>
      <c r="Q14" t="s">
        <v>37</v>
      </c>
    </row>
    <row r="15" spans="1:17" x14ac:dyDescent="0.3">
      <c r="A15" s="18" t="s">
        <v>22</v>
      </c>
      <c r="B15">
        <v>109780</v>
      </c>
      <c r="H15" s="18" t="s">
        <v>277</v>
      </c>
      <c r="Q15" t="s">
        <v>38</v>
      </c>
    </row>
    <row r="16" spans="1:17" x14ac:dyDescent="0.3">
      <c r="A16" s="18" t="s">
        <v>19</v>
      </c>
      <c r="B16">
        <v>135145</v>
      </c>
      <c r="H16" s="18" t="s">
        <v>278</v>
      </c>
      <c r="Q16" t="s">
        <v>40</v>
      </c>
    </row>
    <row r="17" spans="1:17" x14ac:dyDescent="0.3">
      <c r="A17" s="18" t="s">
        <v>12</v>
      </c>
      <c r="B17">
        <v>53309</v>
      </c>
      <c r="H17" s="18" t="s">
        <v>283</v>
      </c>
      <c r="Q17" s="11" t="s">
        <v>42</v>
      </c>
    </row>
    <row r="18" spans="1:17" x14ac:dyDescent="0.3">
      <c r="A18" s="18" t="s">
        <v>79</v>
      </c>
      <c r="B18">
        <v>11668</v>
      </c>
      <c r="Q18" t="s">
        <v>44</v>
      </c>
    </row>
    <row r="19" spans="1:17" x14ac:dyDescent="0.3">
      <c r="A19" s="18" t="s">
        <v>72</v>
      </c>
      <c r="B19">
        <v>15001</v>
      </c>
      <c r="H19" s="17" t="s">
        <v>25</v>
      </c>
      <c r="I19" t="s">
        <v>296</v>
      </c>
      <c r="Q19" t="s">
        <v>7</v>
      </c>
    </row>
    <row r="20" spans="1:17" x14ac:dyDescent="0.3">
      <c r="A20" s="18" t="s">
        <v>217</v>
      </c>
      <c r="B20">
        <v>5246</v>
      </c>
      <c r="H20" s="18" t="s">
        <v>276</v>
      </c>
      <c r="I20">
        <v>101</v>
      </c>
      <c r="Q20" t="s">
        <v>6</v>
      </c>
    </row>
    <row r="21" spans="1:17" x14ac:dyDescent="0.3">
      <c r="A21" s="18" t="s">
        <v>81</v>
      </c>
      <c r="B21">
        <v>21347</v>
      </c>
      <c r="H21" s="18" t="s">
        <v>283</v>
      </c>
      <c r="I21">
        <v>101</v>
      </c>
    </row>
    <row r="22" spans="1:17" x14ac:dyDescent="0.3">
      <c r="A22" s="18" t="s">
        <v>283</v>
      </c>
      <c r="B22">
        <v>351496</v>
      </c>
    </row>
    <row r="27" spans="1:17" x14ac:dyDescent="0.3">
      <c r="A27" s="17" t="s">
        <v>285</v>
      </c>
      <c r="B27" t="s">
        <v>286</v>
      </c>
    </row>
    <row r="28" spans="1:17" x14ac:dyDescent="0.3">
      <c r="A28" s="19">
        <v>45020</v>
      </c>
      <c r="B28">
        <v>128900</v>
      </c>
    </row>
    <row r="29" spans="1:17" x14ac:dyDescent="0.3">
      <c r="A29" s="19" t="s">
        <v>283</v>
      </c>
      <c r="B29">
        <v>128900</v>
      </c>
    </row>
    <row r="32" spans="1:17" x14ac:dyDescent="0.3">
      <c r="A32" t="s">
        <v>35</v>
      </c>
    </row>
    <row r="33" spans="1:2" x14ac:dyDescent="0.3">
      <c r="A33" s="17" t="s">
        <v>289</v>
      </c>
      <c r="B33" t="s">
        <v>290</v>
      </c>
    </row>
    <row r="34" spans="1:2" x14ac:dyDescent="0.3">
      <c r="A34" s="18" t="s">
        <v>271</v>
      </c>
      <c r="B34">
        <v>150</v>
      </c>
    </row>
    <row r="35" spans="1:2" x14ac:dyDescent="0.3">
      <c r="A35" s="18" t="s">
        <v>274</v>
      </c>
      <c r="B35">
        <v>400</v>
      </c>
    </row>
    <row r="36" spans="1:2" x14ac:dyDescent="0.3">
      <c r="A36" s="18" t="s">
        <v>276</v>
      </c>
      <c r="B36">
        <v>600</v>
      </c>
    </row>
    <row r="37" spans="1:2" x14ac:dyDescent="0.3">
      <c r="A37" s="18" t="s">
        <v>277</v>
      </c>
      <c r="B37">
        <v>500</v>
      </c>
    </row>
    <row r="38" spans="1:2" x14ac:dyDescent="0.3">
      <c r="A38" s="18" t="s">
        <v>278</v>
      </c>
      <c r="B38">
        <v>500</v>
      </c>
    </row>
    <row r="39" spans="1:2" x14ac:dyDescent="0.3">
      <c r="A39" s="18" t="s">
        <v>283</v>
      </c>
      <c r="B39">
        <v>486.41509433962267</v>
      </c>
    </row>
    <row r="42" spans="1:2" x14ac:dyDescent="0.3">
      <c r="A42" t="s">
        <v>37</v>
      </c>
    </row>
    <row r="43" spans="1:2" x14ac:dyDescent="0.3">
      <c r="A43" s="17" t="s">
        <v>289</v>
      </c>
      <c r="B43" t="s">
        <v>294</v>
      </c>
    </row>
    <row r="44" spans="1:2" x14ac:dyDescent="0.3">
      <c r="A44" s="18" t="s">
        <v>271</v>
      </c>
      <c r="B44" s="20">
        <v>6.7924528301886791E-2</v>
      </c>
    </row>
    <row r="45" spans="1:2" x14ac:dyDescent="0.3">
      <c r="A45" s="18" t="s">
        <v>274</v>
      </c>
      <c r="B45" s="20">
        <v>0.27924528301886792</v>
      </c>
    </row>
    <row r="46" spans="1:2" x14ac:dyDescent="0.3">
      <c r="A46" s="18" t="s">
        <v>276</v>
      </c>
      <c r="B46" s="20">
        <v>0.38113207547169814</v>
      </c>
    </row>
    <row r="47" spans="1:2" x14ac:dyDescent="0.3">
      <c r="A47" s="18" t="s">
        <v>277</v>
      </c>
      <c r="B47" s="20">
        <v>9.056603773584905E-2</v>
      </c>
    </row>
    <row r="48" spans="1:2" x14ac:dyDescent="0.3">
      <c r="A48" s="18" t="s">
        <v>278</v>
      </c>
      <c r="B48" s="20">
        <v>0.1811320754716981</v>
      </c>
    </row>
    <row r="49" spans="1:2" x14ac:dyDescent="0.3">
      <c r="A49" s="18" t="s">
        <v>283</v>
      </c>
      <c r="B49" s="20">
        <v>1</v>
      </c>
    </row>
    <row r="53" spans="1:2" x14ac:dyDescent="0.3">
      <c r="A53" t="s">
        <v>38</v>
      </c>
    </row>
    <row r="54" spans="1:2" x14ac:dyDescent="0.3">
      <c r="A54" s="17" t="s">
        <v>289</v>
      </c>
      <c r="B54" t="s">
        <v>292</v>
      </c>
    </row>
    <row r="55" spans="1:2" x14ac:dyDescent="0.3">
      <c r="A55" s="18" t="s">
        <v>271</v>
      </c>
      <c r="B55" s="20">
        <v>6.7924528301886791E-2</v>
      </c>
    </row>
    <row r="56" spans="1:2" x14ac:dyDescent="0.3">
      <c r="A56" s="18" t="s">
        <v>274</v>
      </c>
      <c r="B56" s="20">
        <v>0.27924528301886792</v>
      </c>
    </row>
    <row r="57" spans="1:2" x14ac:dyDescent="0.3">
      <c r="A57" s="18" t="s">
        <v>276</v>
      </c>
      <c r="B57" s="20">
        <v>0.38113207547169814</v>
      </c>
    </row>
    <row r="58" spans="1:2" x14ac:dyDescent="0.3">
      <c r="A58" s="18" t="s">
        <v>277</v>
      </c>
      <c r="B58" s="20">
        <v>9.056603773584905E-2</v>
      </c>
    </row>
    <row r="59" spans="1:2" x14ac:dyDescent="0.3">
      <c r="A59" s="18" t="s">
        <v>278</v>
      </c>
      <c r="B59" s="20">
        <v>0.1811320754716981</v>
      </c>
    </row>
    <row r="60" spans="1:2" x14ac:dyDescent="0.3">
      <c r="A60" s="18" t="s">
        <v>283</v>
      </c>
      <c r="B60" s="20">
        <v>1</v>
      </c>
    </row>
    <row r="64" spans="1:2" x14ac:dyDescent="0.3">
      <c r="A64" t="s">
        <v>40</v>
      </c>
    </row>
    <row r="65" spans="1:4" x14ac:dyDescent="0.3">
      <c r="A65" s="17" t="s">
        <v>289</v>
      </c>
      <c r="B65" t="s">
        <v>284</v>
      </c>
      <c r="C65" t="s">
        <v>291</v>
      </c>
      <c r="D65" t="s">
        <v>293</v>
      </c>
    </row>
    <row r="66" spans="1:4" x14ac:dyDescent="0.3">
      <c r="A66" s="18" t="s">
        <v>271</v>
      </c>
      <c r="B66">
        <v>2700</v>
      </c>
      <c r="C66" s="21">
        <v>2430</v>
      </c>
      <c r="D66">
        <v>270</v>
      </c>
    </row>
    <row r="67" spans="1:4" x14ac:dyDescent="0.3">
      <c r="A67" s="18" t="s">
        <v>274</v>
      </c>
      <c r="B67">
        <v>29600</v>
      </c>
      <c r="C67" s="21">
        <v>26640</v>
      </c>
      <c r="D67">
        <v>2960</v>
      </c>
    </row>
    <row r="68" spans="1:4" x14ac:dyDescent="0.3">
      <c r="A68" s="18" t="s">
        <v>276</v>
      </c>
      <c r="B68">
        <v>60600</v>
      </c>
      <c r="C68" s="21">
        <v>54540</v>
      </c>
      <c r="D68">
        <v>6060</v>
      </c>
    </row>
    <row r="69" spans="1:4" x14ac:dyDescent="0.3">
      <c r="A69" s="18" t="s">
        <v>277</v>
      </c>
      <c r="B69">
        <v>12000</v>
      </c>
      <c r="C69" s="21">
        <v>10800</v>
      </c>
      <c r="D69">
        <v>1200</v>
      </c>
    </row>
    <row r="70" spans="1:4" x14ac:dyDescent="0.3">
      <c r="A70" s="18" t="s">
        <v>278</v>
      </c>
      <c r="B70">
        <v>24000</v>
      </c>
      <c r="C70" s="21">
        <v>21600</v>
      </c>
      <c r="D70">
        <v>2400</v>
      </c>
    </row>
    <row r="71" spans="1:4" x14ac:dyDescent="0.3">
      <c r="A71" s="18" t="s">
        <v>283</v>
      </c>
      <c r="B71">
        <v>128900</v>
      </c>
      <c r="C71" s="21">
        <v>116010</v>
      </c>
      <c r="D71">
        <v>12890</v>
      </c>
    </row>
  </sheetData>
  <pageMargins left="0.7" right="0.7" top="0.75" bottom="0.75" header="0.3" footer="0.3"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A6DC-5282-4FAC-96D2-849F2DE19986}">
  <dimension ref="A1:R13"/>
  <sheetViews>
    <sheetView topLeftCell="C1" workbookViewId="0">
      <selection activeCell="H2" sqref="H2"/>
    </sheetView>
  </sheetViews>
  <sheetFormatPr defaultRowHeight="14.4" x14ac:dyDescent="0.3"/>
  <cols>
    <col min="1" max="2" width="11.6640625" customWidth="1"/>
    <col min="3" max="3" width="2.77734375" customWidth="1"/>
    <col min="4" max="7" width="12.44140625" customWidth="1"/>
    <col min="8" max="8" width="2.77734375" customWidth="1"/>
    <col min="9" max="11" width="15.33203125" customWidth="1"/>
    <col min="12" max="12" width="2.77734375" customWidth="1"/>
    <col min="13" max="15" width="13.6640625" customWidth="1"/>
    <col min="16" max="16" width="2.77734375" customWidth="1"/>
  </cols>
  <sheetData>
    <row r="1" spans="1:18" ht="30.6" customHeight="1" x14ac:dyDescent="0.45">
      <c r="A1" s="23" t="s">
        <v>299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12" spans="1:18" x14ac:dyDescent="0.3">
      <c r="D12" s="22"/>
    </row>
    <row r="13" spans="1:18" x14ac:dyDescent="0.3">
      <c r="P13">
        <f>GETPIVOTDATA("Оплата за курс, $",'СВОДНЫЕ ТАБ'!$H$2)</f>
        <v>116010</v>
      </c>
    </row>
  </sheetData>
  <mergeCells count="1">
    <mergeCell ref="A1:R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 1</vt:lpstr>
      <vt:lpstr>лист 2</vt:lpstr>
      <vt:lpstr>лист 3</vt:lpstr>
      <vt:lpstr>СВОДНЫЕ ТАБ</vt:lpstr>
      <vt:lpstr>ДАШ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M</dc:creator>
  <cp:lastModifiedBy>aizharyk maksatkhan</cp:lastModifiedBy>
  <dcterms:created xsi:type="dcterms:W3CDTF">2024-09-27T09:01:03Z</dcterms:created>
  <dcterms:modified xsi:type="dcterms:W3CDTF">2026-09-01T18:53:10Z</dcterms:modified>
</cp:coreProperties>
</file>